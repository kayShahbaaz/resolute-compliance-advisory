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ECC-2 Delta Assessment" sheetId="2" state="visible" r:id="rId4"/>
    <sheet name="CAP Verification" sheetId="3" state="visible" r:id="rId5"/>
    <sheet name="Evidence Log" sheetId="4" state="visible" r:id="rId6"/>
    <sheet name="Interview Schedul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<sst xmlns="http://schemas.openxmlformats.org/spreadsheetml/2006/main" count="1405" uniqueCount="591">
  <si>
    <t xml:space="preserve">RESOLUTE COMPLIANCE ADVISORY LLP</t>
  </si>
  <si>
    <t xml:space="preserve">Governance  ·  Risk  ·  Compliance</t>
  </si>
  <si>
    <t xml:space="preserve">ECC-2:2024 DELTA FIELDWORK CHECKLIST</t>
  </si>
  <si>
    <t xml:space="preserve">NCA ECC-2:2024 Delta Assessment  —  Al Ameen Insurance Company  —  RCA-P3C-002</t>
  </si>
  <si>
    <t xml:space="preserve">Document Title</t>
  </si>
  <si>
    <t xml:space="preserve">ECC-2:2024 Delta Fieldwork Checklist</t>
  </si>
  <si>
    <t xml:space="preserve">Document Ref</t>
  </si>
  <si>
    <t xml:space="preserve">RCA-P3C-002</t>
  </si>
  <si>
    <t xml:space="preserve">Client</t>
  </si>
  <si>
    <t xml:space="preserve">Al Ameen Insurance Company</t>
  </si>
  <si>
    <t xml:space="preserve">Project</t>
  </si>
  <si>
    <t xml:space="preserve">NCA ECC-2:2024 Delta Assessment — Returning Engagement</t>
  </si>
  <si>
    <t xml:space="preserve">Prepared by</t>
  </si>
  <si>
    <t xml:space="preserve">kay Shahbaaz, GRC Auditor</t>
  </si>
  <si>
    <t xml:space="preserve">Reviewed by</t>
  </si>
  <si>
    <t xml:space="preserve">Resolute Compliance Advisory LLP</t>
  </si>
  <si>
    <t xml:space="preserve">Fieldwork Period</t>
  </si>
  <si>
    <t xml:space="preserve">10 February 2025 – 14 March 2025</t>
  </si>
  <si>
    <t xml:space="preserve">Date Issued</t>
  </si>
  <si>
    <t xml:space="preserve">03 February 2025</t>
  </si>
  <si>
    <t xml:space="preserve">Version</t>
  </si>
  <si>
    <t xml:space="preserve">v1.0</t>
  </si>
  <si>
    <t xml:space="preserve">Classification</t>
  </si>
  <si>
    <t xml:space="preserve">CONFIDENTIAL</t>
  </si>
  <si>
    <t xml:space="preserve">Status</t>
  </si>
  <si>
    <t xml:space="preserve">Active — Fieldwork in Progress</t>
  </si>
  <si>
    <t xml:space="preserve">WORKBOOK STRUCTURE</t>
  </si>
  <si>
    <t xml:space="preserve">Sheet 1 — Cover</t>
  </si>
  <si>
    <t xml:space="preserve">This sheet. Document control and workbook instructions.</t>
  </si>
  <si>
    <t xml:space="preserve">Sheet 2 — ECC-2:2024 Delta</t>
  </si>
  <si>
    <t xml:space="preserve">Full 108-control delta assessment. For each control: ECC-1 mapping, baseline status from Project 3, current assessment status, change direction, evidence reference, and auditor notes.</t>
  </si>
  <si>
    <t xml:space="preserve">Sheet 3 — CAP Verification</t>
  </si>
  <si>
    <t xml:space="preserve">Verification of all 30 corrective actions from the Project 3 CAP (RCA-P3-005). Status as at 03 February 2025 with evidence references.</t>
  </si>
  <si>
    <t xml:space="preserve">Sheet 4 — Evidence Log</t>
  </si>
  <si>
    <t xml:space="preserve">Indexed log of all evidence documents and artefacts collected during fieldwork. Referenced by ID throughout the checklist.</t>
  </si>
  <si>
    <t xml:space="preserve">Sheet 5 — Interview Schedule</t>
  </si>
  <si>
    <t xml:space="preserve">Scheduled stakeholder interviews — dates, attendees, focus areas, and interview notes.</t>
  </si>
  <si>
    <t xml:space="preserve">STATUS LEGEND</t>
  </si>
  <si>
    <t xml:space="preserve">Conformant</t>
  </si>
  <si>
    <t xml:space="preserve">Control requirement is fully met. Evidence on file.</t>
  </si>
  <si>
    <t xml:space="preserve">Partial</t>
  </si>
  <si>
    <t xml:space="preserve">Control is partially implemented. Gaps remain.</t>
  </si>
  <si>
    <t xml:space="preserve">Non-Conformant</t>
  </si>
  <si>
    <t xml:space="preserve">Control requirement is not met. No evidence of implementation.</t>
  </si>
  <si>
    <t xml:space="preserve">New (ECC-2)</t>
  </si>
  <si>
    <t xml:space="preserve">Control introduced in ECC-2:2024 with no direct ECC-1:2018 equivalent.</t>
  </si>
  <si>
    <t xml:space="preserve">N/A</t>
  </si>
  <si>
    <t xml:space="preserve">Control not applicable to the Client's environment.</t>
  </si>
  <si>
    <t xml:space="preserve">Not Assessed</t>
  </si>
  <si>
    <t xml:space="preserve">Control not yet assessed during fieldwork.</t>
  </si>
  <si>
    <t xml:space="preserve">CONFIDENTIAL — RESOLUTE COMPLIANCE ADVISORY LLP — RCA-P3C-002 — v1.0</t>
  </si>
  <si>
    <t xml:space="preserve">ECC-2:2024 DELTA CONTROL ASSESSMENT  —  Al Ameen Insurance Company  —  RCA-P3C-002</t>
  </si>
  <si>
    <t xml:space="preserve">Fieldwork Period: 10 February 2025 – 14 March 2025  |  Auditor: kay Shahbaaz, GRC Auditor  |  Framework: NCA ECC-2:2024 (108 Controls)</t>
  </si>
  <si>
    <t xml:space="preserve">Control ID</t>
  </si>
  <si>
    <t xml:space="preserve">Domain</t>
  </si>
  <si>
    <t xml:space="preserve">Sub-Domain</t>
  </si>
  <si>
    <t xml:space="preserve">Control Description</t>
  </si>
  <si>
    <t xml:space="preserve">ECC-1 Equivalent</t>
  </si>
  <si>
    <t xml:space="preserve">Baseline Status
(Oct 2024)</t>
  </si>
  <si>
    <t xml:space="preserve">Current Status
(Feb–Mar 2025)</t>
  </si>
  <si>
    <t xml:space="preserve">Change</t>
  </si>
  <si>
    <t xml:space="preserve">Evidence Ref</t>
  </si>
  <si>
    <t xml:space="preserve">Auditor Notes</t>
  </si>
  <si>
    <t xml:space="preserve">1. CYBERSECURITY GOVERNANCE</t>
  </si>
  <si>
    <t xml:space="preserve">1-1-1</t>
  </si>
  <si>
    <t xml:space="preserve">1. Cybersecurity Governance</t>
  </si>
  <si>
    <t xml:space="preserve">1-1 Strategy &amp; Governance</t>
  </si>
  <si>
    <t xml:space="preserve">A cybersecurity strategy aligned to the organisation's business objectives and risk appetite shall be documented, approved by senior management, and reviewed at least annually.</t>
  </si>
  <si>
    <t xml:space="preserve">Yes</t>
  </si>
  <si>
    <t xml:space="preserve">Improved</t>
  </si>
  <si>
    <t xml:space="preserve">1-1-2</t>
  </si>
  <si>
    <t xml:space="preserve">Cybersecurity objectives and key performance indicators (KPIs) shall be defined and reported to senior management on a periodic basis.</t>
  </si>
  <si>
    <t xml:space="preserve">No Change</t>
  </si>
  <si>
    <t xml:space="preserve">1-1-3</t>
  </si>
  <si>
    <t xml:space="preserve">A cybersecurity governance structure shall be established, with defined roles, responsibilities, and accountability for cybersecurity.</t>
  </si>
  <si>
    <t xml:space="preserve">1-1-4</t>
  </si>
  <si>
    <t xml:space="preserve">A dedicated cybersecurity function or role shall be established, with sufficient authority and resources to fulfil cybersecurity responsibilities.</t>
  </si>
  <si>
    <t xml:space="preserve">1-2-1</t>
  </si>
  <si>
    <t xml:space="preserve">1-2 Risk Management</t>
  </si>
  <si>
    <t xml:space="preserve">A cybersecurity risk management process shall be established, documented, and applied to identify, assess, treat, and monitor cybersecurity risks.</t>
  </si>
  <si>
    <t xml:space="preserve">1-2-2</t>
  </si>
  <si>
    <t xml:space="preserve">Cybersecurity risk assessments shall be conducted at least annually and upon significant changes to the organisation's environment.</t>
  </si>
  <si>
    <t xml:space="preserve">1-2-3</t>
  </si>
  <si>
    <t xml:space="preserve">A risk treatment plan shall be produced following each risk assessment, with assigned owners and target completion dates.</t>
  </si>
  <si>
    <t xml:space="preserve">1-2-4</t>
  </si>
  <si>
    <t xml:space="preserve">Residual risks shall be formally accepted by senior management where risk treatment is not feasible within the defined risk appetite.</t>
  </si>
  <si>
    <t xml:space="preserve">1-3-1</t>
  </si>
  <si>
    <t xml:space="preserve">1-3 Policies &amp; Procedures</t>
  </si>
  <si>
    <t xml:space="preserve">A top-level cybersecurity policy shall be documented, approved by the Board or senior management, communicated to all staff, and reviewed at least annually.</t>
  </si>
  <si>
    <t xml:space="preserve">1-3-2</t>
  </si>
  <si>
    <t xml:space="preserve">Supporting cybersecurity policies and procedures shall cover: access control, asset management, incident response, change management, and acceptable use.</t>
  </si>
  <si>
    <t xml:space="preserve">1-3-3</t>
  </si>
  <si>
    <t xml:space="preserve">Cybersecurity policies shall be reviewed and updated following significant changes to the regulatory environment or the organisation's operations.</t>
  </si>
  <si>
    <t xml:space="preserve">1-4-1</t>
  </si>
  <si>
    <t xml:space="preserve">1-4 Awareness &amp; Training</t>
  </si>
  <si>
    <t xml:space="preserve">A cybersecurity awareness programme shall be established and delivered to all employees at least annually.</t>
  </si>
  <si>
    <t xml:space="preserve">1-4-2</t>
  </si>
  <si>
    <t xml:space="preserve">Role-based cybersecurity training shall be provided to staff with elevated cybersecurity responsibilities (system administrators, IT security personnel).</t>
  </si>
  <si>
    <t xml:space="preserve">1-4-3</t>
  </si>
  <si>
    <t xml:space="preserve">New employees shall receive cybersecurity awareness training as part of their onboarding process.</t>
  </si>
  <si>
    <t xml:space="preserve">1-4-4</t>
  </si>
  <si>
    <t xml:space="preserve">Cybersecurity awareness training completion shall be tracked and reported to management.</t>
  </si>
  <si>
    <t xml:space="preserve">1-5-1</t>
  </si>
  <si>
    <t xml:space="preserve">1-5 Compliance &amp; Audit</t>
  </si>
  <si>
    <t xml:space="preserve">Compliance with cybersecurity policies and applicable regulatory requirements shall be monitored and reported at least annually.</t>
  </si>
  <si>
    <t xml:space="preserve">1-5-2</t>
  </si>
  <si>
    <t xml:space="preserve">Internal cybersecurity audits or assessments shall be conducted at least annually.</t>
  </si>
  <si>
    <t xml:space="preserve">1-5-3</t>
  </si>
  <si>
    <t xml:space="preserve">Findings from cybersecurity audits and assessments shall be tracked through to remediation with defined owners and timelines.</t>
  </si>
  <si>
    <t xml:space="preserve">1-6-1</t>
  </si>
  <si>
    <t xml:space="preserve">1-6 Cryptographic Governance (New ECC-2)</t>
  </si>
  <si>
    <t xml:space="preserve">A cryptographic controls policy shall be established, covering approved algorithms, key lengths, and key management requirements.</t>
  </si>
  <si>
    <t xml:space="preserve">New</t>
  </si>
  <si>
    <t xml:space="preserve">New Gap</t>
  </si>
  <si>
    <t xml:space="preserve">1-6-2</t>
  </si>
  <si>
    <t xml:space="preserve">A cryptographic inventory shall be maintained, documenting all cryptographic assets (certificates, keys, algorithms) across the organisation's systems.</t>
  </si>
  <si>
    <t xml:space="preserve">1-6-3</t>
  </si>
  <si>
    <t xml:space="preserve">A quantum-readiness roadmap shall be developed to plan migration from cryptographic algorithms vulnerable to quantum computing threats.</t>
  </si>
  <si>
    <t xml:space="preserve">2. CYBERSECURITY DEFENCE</t>
  </si>
  <si>
    <t xml:space="preserve">2-1-1</t>
  </si>
  <si>
    <t xml:space="preserve">2. Cybersecurity Defence</t>
  </si>
  <si>
    <t xml:space="preserve">2-1 Asset Management</t>
  </si>
  <si>
    <t xml:space="preserve">An asset inventory shall be maintained covering all information assets including hardware, software, data, and services critical to business operations.</t>
  </si>
  <si>
    <t xml:space="preserve">2-1-2</t>
  </si>
  <si>
    <t xml:space="preserve">Information assets shall be classified according to their criticality and sensitivity, with classification documented in the asset inventory.</t>
  </si>
  <si>
    <t xml:space="preserve">2-1-3</t>
  </si>
  <si>
    <t xml:space="preserve">Asset owners shall be assigned for all critical information assets, with documented responsibilities for protection and maintenance.</t>
  </si>
  <si>
    <t xml:space="preserve">2-1-4</t>
  </si>
  <si>
    <t xml:space="preserve">The asset inventory shall be reviewed and updated at least annually and upon significant changes to the IT environment.</t>
  </si>
  <si>
    <t xml:space="preserve">2-2-1</t>
  </si>
  <si>
    <t xml:space="preserve">2-2 Identity &amp; Access Management</t>
  </si>
  <si>
    <t xml:space="preserve">A formal access control policy shall be established, defining access control principles including least privilege, need-to-know, and segregation of duties.</t>
  </si>
  <si>
    <t xml:space="preserve">2-2-2</t>
  </si>
  <si>
    <t xml:space="preserve">User access rights shall be provisioned based on defined roles, reviewed at least annually, and revoked promptly upon termination or role change.</t>
  </si>
  <si>
    <t xml:space="preserve">2-2-3</t>
  </si>
  <si>
    <t xml:space="preserve">Privileged access shall be managed through individual named accounts. Shared privileged accounts are prohibited unless technically unavoidable, with compensating controls documented.</t>
  </si>
  <si>
    <t xml:space="preserve">2-2-4</t>
  </si>
  <si>
    <t xml:space="preserve">Multi-factor authentication (MFA) shall be enforced for all privileged access and remote access to critical systems.</t>
  </si>
  <si>
    <t xml:space="preserve">2-2-5</t>
  </si>
  <si>
    <t xml:space="preserve">Remote access to organisational systems shall be secured through encrypted channels (VPN or equivalent) with access logging enabled.</t>
  </si>
  <si>
    <t xml:space="preserve">2-2-6</t>
  </si>
  <si>
    <t xml:space="preserve">Password management requirements shall be defined and enforced, including minimum complexity, length, and rotation periods.</t>
  </si>
  <si>
    <t xml:space="preserve">2-3-1</t>
  </si>
  <si>
    <t xml:space="preserve">2-3 Vulnerability Management</t>
  </si>
  <si>
    <t xml:space="preserve">A vulnerability management programme shall be established, covering regular scanning, risk-based prioritisation, and patching of identified vulnerabilities.</t>
  </si>
  <si>
    <t xml:space="preserve">2-3-2</t>
  </si>
  <si>
    <t xml:space="preserve">Vulnerability scans shall be conducted at least quarterly for internet-facing systems and at least annually for internal systems.</t>
  </si>
  <si>
    <t xml:space="preserve">2-3-3</t>
  </si>
  <si>
    <t xml:space="preserve">Critical and high-severity vulnerabilities shall be remediated within defined timelines: Critical within 15 days, High within 30 days.</t>
  </si>
  <si>
    <t xml:space="preserve">2-3-4</t>
  </si>
  <si>
    <t xml:space="preserve">A patch management process shall be established, ensuring timely application of security patches to all systems within the defined patch window.</t>
  </si>
  <si>
    <t xml:space="preserve">2-4-1</t>
  </si>
  <si>
    <t xml:space="preserve">2-4 Network Security</t>
  </si>
  <si>
    <t xml:space="preserve">Network architecture shall be documented, including all network segments, trust zones, and inter-connectivity.</t>
  </si>
  <si>
    <t xml:space="preserve">2-4-2</t>
  </si>
  <si>
    <t xml:space="preserve">Network segmentation shall be implemented to separate critical systems, administrative networks, and user networks.</t>
  </si>
  <si>
    <t xml:space="preserve">2-4-3</t>
  </si>
  <si>
    <t xml:space="preserve">Firewalls shall be deployed at network perimeters, with ruleset reviews conducted at least quarterly.</t>
  </si>
  <si>
    <t xml:space="preserve">2-4-4</t>
  </si>
  <si>
    <t xml:space="preserve">Wireless networks shall be secured using enterprise-grade authentication mechanisms. Guest wireless networks shall be isolated from the corporate network.</t>
  </si>
  <si>
    <t xml:space="preserve">2-4-5</t>
  </si>
  <si>
    <t xml:space="preserve">Remote Desktop Protocol (RDP) and other remote management protocols shall not be exposed to the internet without compensating controls.</t>
  </si>
  <si>
    <t xml:space="preserve">2-5-1</t>
  </si>
  <si>
    <t xml:space="preserve">2-5 Endpoint Security</t>
  </si>
  <si>
    <t xml:space="preserve">Anti-malware controls shall be deployed and maintained on all endpoints, with definitions updated automatically.</t>
  </si>
  <si>
    <t xml:space="preserve">2-5-2</t>
  </si>
  <si>
    <t xml:space="preserve">Endpoint detection and response (EDR) capabilities shall be deployed on critical servers and endpoints.</t>
  </si>
  <si>
    <t xml:space="preserve">2-5-3</t>
  </si>
  <si>
    <t xml:space="preserve">Operating system and application hardening baselines shall be defined and applied to all endpoints.</t>
  </si>
  <si>
    <t xml:space="preserve">2-5-4</t>
  </si>
  <si>
    <t xml:space="preserve">Full-disk encryption shall be enforced on all portable devices (laptops, tablets) that process or store organisational data.</t>
  </si>
  <si>
    <t xml:space="preserve">2-5-5</t>
  </si>
  <si>
    <t xml:space="preserve">USB and removable media usage shall be controlled and restricted on systems processing sensitive or classified data.</t>
  </si>
  <si>
    <t xml:space="preserve">3. CYBERSECURITY RESILIENCE</t>
  </si>
  <si>
    <t xml:space="preserve">3-1-1</t>
  </si>
  <si>
    <t xml:space="preserve">3. Cybersecurity Resilience</t>
  </si>
  <si>
    <t xml:space="preserve">3-1 Incident Management</t>
  </si>
  <si>
    <t xml:space="preserve">A cybersecurity incident response plan shall be documented, approved, and tested at least annually.</t>
  </si>
  <si>
    <t xml:space="preserve">3-1-2</t>
  </si>
  <si>
    <t xml:space="preserve">Incident classification and severity criteria shall be defined, enabling consistent triage and escalation of cybersecurity incidents.</t>
  </si>
  <si>
    <t xml:space="preserve">3-1-3</t>
  </si>
  <si>
    <t xml:space="preserve">An incident response team shall be designated with defined roles and contact information maintained and tested.</t>
  </si>
  <si>
    <t xml:space="preserve">3-1-4</t>
  </si>
  <si>
    <t xml:space="preserve">Cybersecurity incidents shall be reported to NCA and SAMA within the timeframes specified in applicable regulations.</t>
  </si>
  <si>
    <t xml:space="preserve">3-1-5</t>
  </si>
  <si>
    <t xml:space="preserve">Post-incident reviews shall be conducted for significant cybersecurity incidents, with findings used to improve preventive controls.</t>
  </si>
  <si>
    <t xml:space="preserve">3-2-1</t>
  </si>
  <si>
    <t xml:space="preserve">3-2 Business Continuity &amp; DR</t>
  </si>
  <si>
    <t xml:space="preserve">A business continuity plan (BCP) shall be documented, covering cybersecurity incident scenarios, and tested at least annually.</t>
  </si>
  <si>
    <t xml:space="preserve">3-2-2</t>
  </si>
  <si>
    <t xml:space="preserve">A disaster recovery plan (DRP) shall be documented for critical IT systems, with defined recovery time objectives (RTO) and recovery point objectives (RPO).</t>
  </si>
  <si>
    <t xml:space="preserve">3-2-3</t>
  </si>
  <si>
    <t xml:space="preserve">Backup processes shall be in place for all critical data, with backups stored in geographically separate locations and tested for restorability at least quarterly.</t>
  </si>
  <si>
    <t xml:space="preserve">3-2-4</t>
  </si>
  <si>
    <t xml:space="preserve">BCP and DRP shall be reviewed following significant changes to the IT environment or following invocation.</t>
  </si>
  <si>
    <t xml:space="preserve">3-3-1</t>
  </si>
  <si>
    <t xml:space="preserve">3-3 Log Management &amp; Monitoring</t>
  </si>
  <si>
    <t xml:space="preserve">Security event logs shall be collected from all critical systems, including servers, network devices, and security controls.</t>
  </si>
  <si>
    <t xml:space="preserve">3-3-2</t>
  </si>
  <si>
    <t xml:space="preserve">Log retention shall meet the minimum period specified by SAMA — 12 months online, with archival to 36 months.</t>
  </si>
  <si>
    <t xml:space="preserve">3-3-3</t>
  </si>
  <si>
    <t xml:space="preserve">A Security Information and Event Management (SIEM) system or equivalent capability shall be deployed to aggregate and correlate security events.</t>
  </si>
  <si>
    <t xml:space="preserve">3-3-4</t>
  </si>
  <si>
    <t xml:space="preserve">Alerting rules shall be configured to detect and notify on critical security events including failed logins, privilege escalation, and policy violations.</t>
  </si>
  <si>
    <t xml:space="preserve">3-3-5</t>
  </si>
  <si>
    <t xml:space="preserve">Log integrity shall be protected to ensure that logs cannot be tampered with or deleted by unauthorised parties.</t>
  </si>
  <si>
    <t xml:space="preserve">4. THIRD-PARTY &amp; CLOUD SECURITY</t>
  </si>
  <si>
    <t xml:space="preserve">4-1-1</t>
  </si>
  <si>
    <t xml:space="preserve">4. Third-Party &amp; Cloud Security</t>
  </si>
  <si>
    <t xml:space="preserve">4-1 Third-Party Management</t>
  </si>
  <si>
    <t xml:space="preserve">A third-party cybersecurity risk management framework shall be established, covering identification, assessment, and ongoing monitoring of third-party cybersecurity risks.</t>
  </si>
  <si>
    <t xml:space="preserve">4-1-2</t>
  </si>
  <si>
    <t xml:space="preserve">Cybersecurity requirements shall be included in all contracts with third parties that have access to the organisation's systems, data, or facilities.</t>
  </si>
  <si>
    <t xml:space="preserve">4-1-3</t>
  </si>
  <si>
    <t xml:space="preserve">Third-party cybersecurity posture shall be assessed prior to engagement and reviewed at least annually for critical suppliers.</t>
  </si>
  <si>
    <t xml:space="preserve">4-1-4</t>
  </si>
  <si>
    <t xml:space="preserve">Third-party access to organisational systems shall be controlled and monitored, with access revoked promptly upon contract termination.</t>
  </si>
  <si>
    <t xml:space="preserve">4-2-1</t>
  </si>
  <si>
    <t xml:space="preserve">4-2 Localised Vendor Governance</t>
  </si>
  <si>
    <t xml:space="preserve">SAMA-regulated and NCA-designated third parties (including Najm and Shafafiyah) shall be subject to enhanced cybersecurity due diligence, including review of their own NCA compliance posture.</t>
  </si>
  <si>
    <t xml:space="preserve">4-2-2</t>
  </si>
  <si>
    <t xml:space="preserve">Contracts with SAMA-regulated third parties shall include explicit cybersecurity obligations, incident notification requirements, and right-to-audit clauses aligned to NCA ECC-2:2024.</t>
  </si>
  <si>
    <t xml:space="preserve">4-2-3</t>
  </si>
  <si>
    <t xml:space="preserve">Data localisation requirements shall be verified for all third parties processing or storing data on behalf of the organisation, in compliance with NCA and SAMA data residency requirements.</t>
  </si>
  <si>
    <t xml:space="preserve">4-3-1</t>
  </si>
  <si>
    <t xml:space="preserve">4-3 Cloud Security</t>
  </si>
  <si>
    <t xml:space="preserve">A cloud security baseline shall be documented and applied to all cloud service deployments (including Azure KSA workloads), covering identity, access, encryption, and monitoring.</t>
  </si>
  <si>
    <t xml:space="preserve">4-3-2</t>
  </si>
  <si>
    <t xml:space="preserve">Cloud environments shall be configured in compliance with the CSP's security best practice baseline (CIS Benchmarks or equivalent) and reviewed at least annually.</t>
  </si>
  <si>
    <t xml:space="preserve">4-3-3</t>
  </si>
  <si>
    <t xml:space="preserve">Cloud security posture management (CSPM) tools or equivalent controls shall be deployed to continuously monitor cloud configurations for misconfigurations and policy violations.</t>
  </si>
  <si>
    <t xml:space="preserve">4-3-4</t>
  </si>
  <si>
    <t xml:space="preserve">Cloud access shall be restricted to authorised users only, with MFA enforced and access reviewed quarterly.</t>
  </si>
  <si>
    <t xml:space="preserve">4-3-5</t>
  </si>
  <si>
    <t xml:space="preserve">Data stored in cloud environments shall be encrypted at rest and in transit using approved cryptographic algorithms.</t>
  </si>
  <si>
    <t xml:space="preserve">4-3-6</t>
  </si>
  <si>
    <t xml:space="preserve">Exit strategy and data portability requirements shall be documented for all material cloud service dependencies.</t>
  </si>
  <si>
    <t xml:space="preserve">5. INDUSTRIAL CONTROL SYSTEMS</t>
  </si>
  <si>
    <t xml:space="preserve">5-1-1</t>
  </si>
  <si>
    <t xml:space="preserve">5. Industrial Control Systems</t>
  </si>
  <si>
    <t xml:space="preserve">5-1 ICS/OT Security</t>
  </si>
  <si>
    <t xml:space="preserve">ICS/OT environments shall be identified, documented, and subject to a dedicated cybersecurity risk assessment.</t>
  </si>
  <si>
    <t xml:space="preserve">5-1-2</t>
  </si>
  <si>
    <t xml:space="preserve">ICS/OT networks shall be segregated from corporate IT networks using appropriate technical controls.</t>
  </si>
  <si>
    <t xml:space="preserve">5-1-3</t>
  </si>
  <si>
    <t xml:space="preserve">Remote access to ICS/OT systems shall be restricted and monitored, with all sessions logged.</t>
  </si>
  <si>
    <t xml:space="preserve">5-1-4</t>
  </si>
  <si>
    <t xml:space="preserve">ICS/OT security patches shall be applied following vendor guidance and within a defined patching schedule.</t>
  </si>
  <si>
    <t xml:space="preserve">2-6-1</t>
  </si>
  <si>
    <t xml:space="preserve">2-6 Application Security</t>
  </si>
  <si>
    <t xml:space="preserve">Secure development practices shall be embedded in the software development lifecycle, including security requirements, code review, and security testing prior to deployment.</t>
  </si>
  <si>
    <t xml:space="preserve">2-6-2</t>
  </si>
  <si>
    <t xml:space="preserve">Web application firewalls (WAF) or equivalent controls shall be deployed for all internet-facing web applications.</t>
  </si>
  <si>
    <t xml:space="preserve">2-6-3</t>
  </si>
  <si>
    <t xml:space="preserve">Application-level audit logging shall be enabled for all business-critical applications, capturing user actions, authentication events, and data access.</t>
  </si>
  <si>
    <t xml:space="preserve">2-6-4</t>
  </si>
  <si>
    <t xml:space="preserve">API security controls shall be implemented for all externally exposed APIs, including authentication, rate limiting, and input validation.</t>
  </si>
  <si>
    <t xml:space="preserve">2-7-1</t>
  </si>
  <si>
    <t xml:space="preserve">2-7 Data Security</t>
  </si>
  <si>
    <t xml:space="preserve">A data classification scheme shall be defined and applied to all organisational data, with handling requirements documented for each classification level.</t>
  </si>
  <si>
    <t xml:space="preserve">2-7-2</t>
  </si>
  <si>
    <t xml:space="preserve">Sensitive data shall be encrypted at rest and in transit using approved encryption standards.</t>
  </si>
  <si>
    <t xml:space="preserve">2-7-3</t>
  </si>
  <si>
    <t xml:space="preserve">Data loss prevention (DLP) controls shall be deployed to detect and prevent unauthorised transfer of sensitive data.</t>
  </si>
  <si>
    <t xml:space="preserve">2-7-4</t>
  </si>
  <si>
    <t xml:space="preserve">A data retention and secure disposal policy shall be defined and implemented, ensuring data is retained for required periods and securely destroyed at end-of-life.</t>
  </si>
  <si>
    <t xml:space="preserve">2-8-1</t>
  </si>
  <si>
    <t xml:space="preserve">2-8 Change Management</t>
  </si>
  <si>
    <t xml:space="preserve">A formal change management process shall be established, requiring security review of all changes to critical systems prior to implementation.</t>
  </si>
  <si>
    <t xml:space="preserve">2-8-2</t>
  </si>
  <si>
    <t xml:space="preserve">Changes to critical systems shall be tested in a non-production environment prior to production deployment.</t>
  </si>
  <si>
    <t xml:space="preserve">2-8-3</t>
  </si>
  <si>
    <t xml:space="preserve">Emergency changes shall follow an expedited but documented process, with post-implementation review completed within 5 business days.</t>
  </si>
  <si>
    <t xml:space="preserve">2-9-1</t>
  </si>
  <si>
    <t xml:space="preserve">2-9 Physical Security</t>
  </si>
  <si>
    <t xml:space="preserve">Physical access to data centres and server rooms shall be controlled using multi-factor physical access controls, with access logs retained for at least 12 months.</t>
  </si>
  <si>
    <t xml:space="preserve">2-9-2</t>
  </si>
  <si>
    <t xml:space="preserve">CCTV monitoring shall be installed in data centres and server rooms, with recordings retained for at least 90 days.</t>
  </si>
  <si>
    <t xml:space="preserve">2-9-3</t>
  </si>
  <si>
    <t xml:space="preserve">Environmental controls (UPS, air conditioning, fire suppression) shall be deployed and tested in data centre environments.</t>
  </si>
  <si>
    <t xml:space="preserve">3-4-1</t>
  </si>
  <si>
    <t xml:space="preserve">3-4 Threat Intelligence (New ECC-2)</t>
  </si>
  <si>
    <t xml:space="preserve">A threat intelligence capability shall be established to consume and act upon NCA threat intelligence feeds and sector-specific threat information.</t>
  </si>
  <si>
    <t xml:space="preserve">3-4-2</t>
  </si>
  <si>
    <t xml:space="preserve">Threat intelligence findings shall be integrated into the vulnerability management and risk assessment processes.</t>
  </si>
  <si>
    <t xml:space="preserve">1-7-1</t>
  </si>
  <si>
    <t xml:space="preserve">1-7 Supply Chain Security (New ECC-2)</t>
  </si>
  <si>
    <t xml:space="preserve">Supply chain cybersecurity risks shall be identified and assessed for all critical technology suppliers (hardware, software, and services).</t>
  </si>
  <si>
    <t xml:space="preserve">1-7-2</t>
  </si>
  <si>
    <t xml:space="preserve">Software supply chain integrity controls shall be implemented, including verification of software authenticity and integrity before deployment.</t>
  </si>
  <si>
    <t xml:space="preserve">1-7-3</t>
  </si>
  <si>
    <t xml:space="preserve">Reinsurance data exchange partners (Munich Re, Swiss Re) shall be subject to supply chain cybersecurity risk assessment and contractual security obligations.</t>
  </si>
  <si>
    <t xml:space="preserve">2-4-6</t>
  </si>
  <si>
    <t xml:space="preserve">Intrusion detection or prevention systems (IDS/IPS) shall be deployed at network perimeters and on critical network segments.</t>
  </si>
  <si>
    <t xml:space="preserve">2-4-7</t>
  </si>
  <si>
    <t xml:space="preserve">DNS security controls (DNS filtering or equivalent) shall be deployed to block access to known malicious domains.</t>
  </si>
  <si>
    <t xml:space="preserve">2-2-7</t>
  </si>
  <si>
    <t xml:space="preserve">Privileged access management (PAM) solution or equivalent controls shall be implemented for all administrative accounts on critical systems.</t>
  </si>
  <si>
    <t xml:space="preserve">2-2-8</t>
  </si>
  <si>
    <t xml:space="preserve">Service accounts shall be inventoried, assigned to named owners, and subject to the same access review process as user accounts.</t>
  </si>
  <si>
    <t xml:space="preserve">3-1-6</t>
  </si>
  <si>
    <t xml:space="preserve">Cybersecurity incidents shall be documented in an incident register, with root cause analysis completed for all significant incidents.</t>
  </si>
  <si>
    <t xml:space="preserve">1-5-4</t>
  </si>
  <si>
    <t xml:space="preserve">Regulatory reporting obligations to SAMA and NCA shall be documented, with compliance status tracked and reported to senior management.</t>
  </si>
  <si>
    <t xml:space="preserve">4-1-5</t>
  </si>
  <si>
    <t xml:space="preserve">An approved supplier list shall be maintained for all third parties with access to critical systems or data, with annual review.</t>
  </si>
  <si>
    <t xml:space="preserve">2-10-1</t>
  </si>
  <si>
    <t xml:space="preserve">2-10 Security Testing</t>
  </si>
  <si>
    <t xml:space="preserve">Penetration testing shall be conducted at least annually for internet-facing systems and critical internal systems, by an accredited third-party provider.</t>
  </si>
  <si>
    <t xml:space="preserve">2-10-2</t>
  </si>
  <si>
    <t xml:space="preserve">Red team exercises shall be conducted at least every two years to test the effectiveness of detective and response controls.</t>
  </si>
  <si>
    <t xml:space="preserve">1-3-4</t>
  </si>
  <si>
    <t xml:space="preserve">An acceptable use policy for IT systems and data shall be documented, communicated to all staff, and acknowledged annually.</t>
  </si>
  <si>
    <t xml:space="preserve">2-1-5</t>
  </si>
  <si>
    <t xml:space="preserve">End-of-life hardware and software shall be identified and tracked, with decommissioning plans documented and approved.</t>
  </si>
  <si>
    <t xml:space="preserve">3-2-5</t>
  </si>
  <si>
    <t xml:space="preserve">Crisis communication procedures shall be documented and tested, covering internal escalation and external communication to regulators and stakeholders during a cybersecurity incident.</t>
  </si>
  <si>
    <t xml:space="preserve">4-3-7</t>
  </si>
  <si>
    <t xml:space="preserve">Cloud service provider security certifications (ISO 27001, SOC 2 or equivalent) shall be obtained and reviewed annually as part of third-party oversight.</t>
  </si>
  <si>
    <t xml:space="preserve">2-7-5</t>
  </si>
  <si>
    <t xml:space="preserve">Personal and sensitive data shall be subject to data minimisation controls, ensuring only data necessary for the defined business purpose is collected and processed.</t>
  </si>
  <si>
    <t xml:space="preserve">1-6-4</t>
  </si>
  <si>
    <t xml:space="preserve">Cryptographic key management procedures shall be documented, covering key generation, distribution, storage, rotation, and destruction.</t>
  </si>
  <si>
    <t xml:space="preserve">2-3-5</t>
  </si>
  <si>
    <t xml:space="preserve">Vulnerability findings from penetration tests and external assessments shall be tracked in the vulnerability register and remediated within defined timelines.</t>
  </si>
  <si>
    <t xml:space="preserve">ASSESSMENT SUMMARY  —  108 Controls Total</t>
  </si>
  <si>
    <t xml:space="preserve">ECC-1: Yes/Partial/New</t>
  </si>
  <si>
    <t xml:space="preserve">CAP VERIFICATION  —  Project 3 Corrective Action Plan (RCA-P3-005)  —  Status as at 03 February 2025</t>
  </si>
  <si>
    <t xml:space="preserve">Baseline: 30 corrective actions issued October 2024 across 4 phases (Nov 2024 – Oct 2025)  |  Phase 1 target: November – December 2024  |  Phase 2 commenced: January 2025</t>
  </si>
  <si>
    <t xml:space="preserve">Ref</t>
  </si>
  <si>
    <t xml:space="preserve">Phase</t>
  </si>
  <si>
    <t xml:space="preserve">Corrective Action</t>
  </si>
  <si>
    <t xml:space="preserve">Finding Ref (P3)</t>
  </si>
  <si>
    <t xml:space="preserve">P3 Status</t>
  </si>
  <si>
    <t xml:space="preserve">Feb 2025 Status</t>
  </si>
  <si>
    <t xml:space="preserve">Auditor Verification Notes</t>
  </si>
  <si>
    <t xml:space="preserve">CA-001</t>
  </si>
  <si>
    <t xml:space="preserve">Phase 1</t>
  </si>
  <si>
    <t xml:space="preserve">Appoint a dedicated IT Security Manager or interim CISO with defined cybersecurity responsibilities and reporting line to the Board</t>
  </si>
  <si>
    <t xml:space="preserve">F-001, F-002</t>
  </si>
  <si>
    <t xml:space="preserve">Complete</t>
  </si>
  <si>
    <t xml:space="preserve">EV-001</t>
  </si>
  <si>
    <t xml:space="preserve">IT Security Manager appointment letter reviewed. Role responsibilities documented. Board notification confirmed.</t>
  </si>
  <si>
    <t xml:space="preserve">CA-002</t>
  </si>
  <si>
    <t xml:space="preserve">Revoke all shared Oracle Insurance production system administrator accounts; issue individual named accounts to all administrators</t>
  </si>
  <si>
    <t xml:space="preserve">F-007</t>
  </si>
  <si>
    <t xml:space="preserve">EV-002</t>
  </si>
  <si>
    <t xml:space="preserve">Oracle IAM configuration reviewed. Shared account 'oracle_admin' deactivated. 3 individual named accounts provisioned. Screenshot evidence on file.</t>
  </si>
  <si>
    <t xml:space="preserve">CA-003</t>
  </si>
  <si>
    <t xml:space="preserve">Enable Azure AD MFA for all privileged accounts and global administrators</t>
  </si>
  <si>
    <t xml:space="preserve">EV-003</t>
  </si>
  <si>
    <t xml:space="preserve">Azure AD MFA configuration reviewed via admin portal. Conditional access policy 'Require MFA – Privileged Accounts' confirmed active. 14 privileged accounts verified.</t>
  </si>
  <si>
    <t xml:space="preserve">CA-004</t>
  </si>
  <si>
    <t xml:space="preserve">Extend log retention from 30 days to 12 months minimum across Azure Monitor and Sentinel</t>
  </si>
  <si>
    <t xml:space="preserve">F-010</t>
  </si>
  <si>
    <t xml:space="preserve">EV-004</t>
  </si>
  <si>
    <t xml:space="preserve">Azure Monitor diagnostic settings reviewed. Log retention confirmed at 365 days for all critical workspaces. SAMA 12-month requirement met.</t>
  </si>
  <si>
    <t xml:space="preserve">CA-005</t>
  </si>
  <si>
    <t xml:space="preserve">Draft and submit a top-level cybersecurity policy framework for Board ratification</t>
  </si>
  <si>
    <t xml:space="preserve">F-001</t>
  </si>
  <si>
    <t xml:space="preserve">EV-005</t>
  </si>
  <si>
    <t xml:space="preserve">Cybersecurity Policy v1.0 reviewed. Board ratification minutes (dated January 2025) confirmed. Policy communicated to all staff via IT Security Manager email.</t>
  </si>
  <si>
    <t xml:space="preserve">CA-006</t>
  </si>
  <si>
    <t xml:space="preserve">Deliver initial all-staff cybersecurity awareness training session</t>
  </si>
  <si>
    <t xml:space="preserve">F-006</t>
  </si>
  <si>
    <t xml:space="preserve">EV-006</t>
  </si>
  <si>
    <t xml:space="preserve">Training attendance record reviewed. Session delivered December 2024. 271 of 290 employees attended. Slides and attendance register on file.</t>
  </si>
  <si>
    <t xml:space="preserve">CA-007</t>
  </si>
  <si>
    <t xml:space="preserve">Complete asset inventory for critical systems (Oracle Insurance, Guidewire, Azure AD, network infrastructure)</t>
  </si>
  <si>
    <t xml:space="preserve">EV-007</t>
  </si>
  <si>
    <t xml:space="preserve">Asset register reviewed. 47 critical systems documented. CMDB tool not yet deployed — inventory maintained in Excel. Full CMDB remains Phase 2 action.</t>
  </si>
  <si>
    <t xml:space="preserve">CA-008</t>
  </si>
  <si>
    <t xml:space="preserve">Engage third-party risk management framework consultant and initiate framework development</t>
  </si>
  <si>
    <t xml:space="preserve">F-004</t>
  </si>
  <si>
    <t xml:space="preserve">In Progress</t>
  </si>
  <si>
    <t xml:space="preserve">EV-008</t>
  </si>
  <si>
    <t xml:space="preserve">Vendor selection confirmed (consultant engaged). Framework draft not yet produced. Expected completion: March 2025.</t>
  </si>
  <si>
    <t xml:space="preserve">CA-009</t>
  </si>
  <si>
    <t xml:space="preserve">Phase 2</t>
  </si>
  <si>
    <t xml:space="preserve">Obtain Board ratification of the cybersecurity policy framework and establish annual review cycle</t>
  </si>
  <si>
    <t xml:space="preserve">Included in CA-005 completion evidence. Board minutes confirm ratification January 2025.</t>
  </si>
  <si>
    <t xml:space="preserve">CA-010</t>
  </si>
  <si>
    <t xml:space="preserve">Conduct first formal cybersecurity risk assessment using defined risk methodology</t>
  </si>
  <si>
    <t xml:space="preserve">F-003</t>
  </si>
  <si>
    <t xml:space="preserve">EV-010</t>
  </si>
  <si>
    <t xml:space="preserve">Risk assessment workshops commenced February 2025. Domain interviews scheduled. Risk register draft expected March 2025.</t>
  </si>
  <si>
    <t xml:space="preserve">CA-011</t>
  </si>
  <si>
    <t xml:space="preserve">Draft third-party cybersecurity security requirements for Najm and Shafafiyah contracts</t>
  </si>
  <si>
    <t xml:space="preserve">Not Started</t>
  </si>
  <si>
    <t xml:space="preserve">Contract review not yet initiated. Najm and Shafafiyah contracts do not contain cybersecurity clauses — remains open finding.</t>
  </si>
  <si>
    <t xml:space="preserve">CA-012</t>
  </si>
  <si>
    <t xml:space="preserve">Deploy CMDB tool and complete full asset inventory including software assets and data assets</t>
  </si>
  <si>
    <t xml:space="preserve">CMDB tool selection in progress. Full inventory remains incomplete.</t>
  </si>
  <si>
    <t xml:space="preserve">CA-013</t>
  </si>
  <si>
    <t xml:space="preserve">Select and procure vulnerability management tooling (Tenable or equivalent); complete initial scan of all critical systems</t>
  </si>
  <si>
    <t xml:space="preserve">F-008</t>
  </si>
  <si>
    <t xml:space="preserve">EV-013</t>
  </si>
  <si>
    <t xml:space="preserve">Tenable.io procurement in progress. Vendor evaluation completed. Purchase order not yet issued.</t>
  </si>
  <si>
    <t xml:space="preserve">CA-014</t>
  </si>
  <si>
    <t xml:space="preserve">Draft cybersecurity incident response procedure including escalation paths and NCA/SAMA notification requirements</t>
  </si>
  <si>
    <t xml:space="preserve">F-009</t>
  </si>
  <si>
    <t xml:space="preserve">IRP not drafted. Incident response capability remains absent.</t>
  </si>
  <si>
    <t xml:space="preserve">CA-015</t>
  </si>
  <si>
    <t xml:space="preserve">Implement role-based access control review process; complete quarterly access review cycle for all privileged accounts</t>
  </si>
  <si>
    <t xml:space="preserve">EV-015</t>
  </si>
  <si>
    <t xml:space="preserve">Azure AD privileged access review completed for 14 accounts. Oracle Insurance access review not yet formalised. Process documentation in draft.</t>
  </si>
  <si>
    <t xml:space="preserve">CA-016</t>
  </si>
  <si>
    <t xml:space="preserve">Deliver role-based cybersecurity training for IT and system administrator staff</t>
  </si>
  <si>
    <t xml:space="preserve">Role-based training not yet delivered. General awareness session (CA-006) only.</t>
  </si>
  <si>
    <t xml:space="preserve">CA-017</t>
  </si>
  <si>
    <t xml:space="preserve">Establish vulnerability management SLA — Critical 15 days, High 30 days — and integrate with change management process</t>
  </si>
  <si>
    <t xml:space="preserve">SLA not defined. Vulnerability management programme not yet operational.</t>
  </si>
  <si>
    <t xml:space="preserve">CA-018</t>
  </si>
  <si>
    <t xml:space="preserve">Review and update reinsurance partner (Munich Re, Swiss Re) data exchange agreements to include cybersecurity obligations</t>
  </si>
  <si>
    <t xml:space="preserve">Contract review not initiated.</t>
  </si>
  <si>
    <t xml:space="preserve">CA-019</t>
  </si>
  <si>
    <t xml:space="preserve">Phase 3</t>
  </si>
  <si>
    <t xml:space="preserve">Conduct first formal BCP/DRP exercise for Oracle Insurance and Guidewire systems</t>
  </si>
  <si>
    <t xml:space="preserve">F-005</t>
  </si>
  <si>
    <t xml:space="preserve">BCP/DRP not yet developed.</t>
  </si>
  <si>
    <t xml:space="preserve">CA-020</t>
  </si>
  <si>
    <t xml:space="preserve">Deploy SIEM capability (Azure Sentinel or equivalent) and configure alerting for critical security events</t>
  </si>
  <si>
    <t xml:space="preserve">EV-020</t>
  </si>
  <si>
    <t xml:space="preserve">Azure Sentinel workspace provisioned. Log sources connected: Azure AD, Azure Monitor, Guidewire. Alert rules configuration in progress.</t>
  </si>
  <si>
    <t xml:space="preserve">CA-021</t>
  </si>
  <si>
    <t xml:space="preserve">Develop cybersecurity incident response plan (IRP) and conduct tabletop exercise</t>
  </si>
  <si>
    <t xml:space="preserve">IRP not yet drafted (see CA-014).</t>
  </si>
  <si>
    <t xml:space="preserve">CA-022</t>
  </si>
  <si>
    <t xml:space="preserve">Implement network segmentation — separate administrative network from user network and Oracle Insurance production environment</t>
  </si>
  <si>
    <t xml:space="preserve">Network segmentation not initiated. Flat network architecture remains in place.</t>
  </si>
  <si>
    <t xml:space="preserve">CA-023</t>
  </si>
  <si>
    <t xml:space="preserve">Deploy endpoint detection and response (EDR) solution on all servers and critical endpoints</t>
  </si>
  <si>
    <t xml:space="preserve">EDR tool selection not commenced.</t>
  </si>
  <si>
    <t xml:space="preserve">CA-024</t>
  </si>
  <si>
    <t xml:space="preserve">Implement formal patch management programme with documented patch windows and approval process</t>
  </si>
  <si>
    <t xml:space="preserve">Patch management process remains ad hoc.</t>
  </si>
  <si>
    <t xml:space="preserve">CA-025</t>
  </si>
  <si>
    <t xml:space="preserve">Conduct penetration test of internet-facing systems and Oracle Insurance production environment</t>
  </si>
  <si>
    <t xml:space="preserve">Penetration test not scheduled.</t>
  </si>
  <si>
    <t xml:space="preserve">CA-026</t>
  </si>
  <si>
    <t xml:space="preserve">Draft and implement data classification scheme and data handling guidelines</t>
  </si>
  <si>
    <t xml:space="preserve">Data classification not initiated.</t>
  </si>
  <si>
    <t xml:space="preserve">CA-027</t>
  </si>
  <si>
    <t xml:space="preserve">Phase 4</t>
  </si>
  <si>
    <t xml:space="preserve">Conduct full cybersecurity awareness programme — annual cycle established with completion tracking</t>
  </si>
  <si>
    <t xml:space="preserve">Annual programme not yet established (initial session only — CA-006).</t>
  </si>
  <si>
    <t xml:space="preserve">CA-028</t>
  </si>
  <si>
    <t xml:space="preserve">Review all third-party contracts and insert cybersecurity security clauses for all suppliers with system access</t>
  </si>
  <si>
    <t xml:space="preserve">Contract review programme not commenced.</t>
  </si>
  <si>
    <t xml:space="preserve">CA-029</t>
  </si>
  <si>
    <t xml:space="preserve">Develop and test business continuity and disaster recovery plans for all critical systems</t>
  </si>
  <si>
    <t xml:space="preserve">BCP/DRP development not started.</t>
  </si>
  <si>
    <t xml:space="preserve">CA-030</t>
  </si>
  <si>
    <t xml:space="preserve">Achieve baseline NCA ECC-2:2024 conformance target (&gt;60%) and present audit-ready posture for SAMA review</t>
  </si>
  <si>
    <t xml:space="preserve">F-001 to F-010</t>
  </si>
  <si>
    <t xml:space="preserve">Target remains Phase 4. Current ECC-2:2024 conformance approximately 39%.</t>
  </si>
  <si>
    <t xml:space="preserve">PHASE 1 &amp; 2 SUMMARY</t>
  </si>
  <si>
    <t xml:space="preserve">30 Total Actions</t>
  </si>
  <si>
    <t xml:space="preserve">Phase 1: 7 Complete, 1 In Progress  |  Phase 2: 3 In Progress, 6 Not Started</t>
  </si>
  <si>
    <t xml:space="preserve">EVIDENCE LOG  —  RCA-P3C-002  —  ECC-2:2024 Delta Assessment  —  Al Ameen Insurance Company</t>
  </si>
  <si>
    <t xml:space="preserve">All evidence collected during fieldwork (10 Feb – 14 Mar 2025) is logged below. Evidence IDs are referenced in the Delta Checklist and CAP Verification sheets.</t>
  </si>
  <si>
    <t xml:space="preserve">Evidence ID</t>
  </si>
  <si>
    <t xml:space="preserve">Control / CAP Ref</t>
  </si>
  <si>
    <t xml:space="preserve">Document / Artefact Name</t>
  </si>
  <si>
    <t xml:space="preserve">Description</t>
  </si>
  <si>
    <t xml:space="preserve">Source System / Owner</t>
  </si>
  <si>
    <t xml:space="preserve">Date Obtained</t>
  </si>
  <si>
    <t xml:space="preserve">Format</t>
  </si>
  <si>
    <t xml:space="preserve">IT Security Manager Appointment Letter</t>
  </si>
  <si>
    <t xml:space="preserve">Formal appointment letter and role description for IT Security Manager (promoted from IT Operations Analyst)</t>
  </si>
  <si>
    <t xml:space="preserve">IT Operations Manager</t>
  </si>
  <si>
    <t xml:space="preserve">10 Feb 2025</t>
  </si>
  <si>
    <t xml:space="preserve">PDF</t>
  </si>
  <si>
    <t xml:space="preserve">CA-002 / 2-2-3</t>
  </si>
  <si>
    <t xml:space="preserve">Oracle IAM Configuration Screenshot</t>
  </si>
  <si>
    <t xml:space="preserve">Screenshot of Oracle Insurance user management console showing deactivation of shared 'oracle_admin' account and 3 individual named accounts</t>
  </si>
  <si>
    <t xml:space="preserve">Oracle Insurance Admin</t>
  </si>
  <si>
    <t xml:space="preserve">PNG</t>
  </si>
  <si>
    <t xml:space="preserve">Verify account creation dates and confirm no residual shared credentials</t>
  </si>
  <si>
    <t xml:space="preserve">CA-003 / 2-2-4</t>
  </si>
  <si>
    <t xml:space="preserve">Azure AD MFA Conditional Access Policy</t>
  </si>
  <si>
    <t xml:space="preserve">Export of Azure AD conditional access policy 'Require MFA – Privileged Accounts' confirming enforcement for 14 privileged accounts</t>
  </si>
  <si>
    <t xml:space="preserve">Azure AD Admin</t>
  </si>
  <si>
    <t xml:space="preserve">11 Feb 2025</t>
  </si>
  <si>
    <t xml:space="preserve">JSON / PDF</t>
  </si>
  <si>
    <t xml:space="preserve">Confirm coverage includes all break-glass accounts</t>
  </si>
  <si>
    <t xml:space="preserve">CA-004 / 3-3-2</t>
  </si>
  <si>
    <t xml:space="preserve">Azure Monitor Log Retention Configuration</t>
  </si>
  <si>
    <t xml:space="preserve">Screenshot of Azure Monitor diagnostic settings confirming 365-day retention for all Log Analytics workspaces</t>
  </si>
  <si>
    <t xml:space="preserve">Azure Admin</t>
  </si>
  <si>
    <t xml:space="preserve">Cross-reference with SAMA 12-month requirement — compliant</t>
  </si>
  <si>
    <t xml:space="preserve">CA-005 / CA-009 / 1-3-1</t>
  </si>
  <si>
    <t xml:space="preserve">Cybersecurity Policy v1.0 and Board Ratification Minutes</t>
  </si>
  <si>
    <t xml:space="preserve">Top-level Cybersecurity Policy document and Board meeting minutes (January 2025) confirming ratification</t>
  </si>
  <si>
    <t xml:space="preserve">IT Security Manager</t>
  </si>
  <si>
    <t xml:space="preserve">12 Feb 2025</t>
  </si>
  <si>
    <t xml:space="preserve">Confirm policy covers all required domains per ECC-2:2024 1-3-2</t>
  </si>
  <si>
    <t xml:space="preserve">CA-006 / 1-4-1</t>
  </si>
  <si>
    <t xml:space="preserve">Cybersecurity Awareness Training — Attendance Register</t>
  </si>
  <si>
    <t xml:space="preserve">Training attendance register for December 2024 all-staff session. 271 of 290 employees attended.</t>
  </si>
  <si>
    <t xml:space="preserve">XLSX</t>
  </si>
  <si>
    <t xml:space="preserve">Identify 19 non-attendees — confirm make-up session planned</t>
  </si>
  <si>
    <t xml:space="preserve">CA-007 / 2-1-1</t>
  </si>
  <si>
    <t xml:space="preserve">Critical Asset Inventory (Excel)</t>
  </si>
  <si>
    <t xml:space="preserve">Excel-based asset register covering 47 critical systems. Includes Oracle Insurance, Guidewire, Azure AD, network infrastructure.</t>
  </si>
  <si>
    <t xml:space="preserve">13 Feb 2025</t>
  </si>
  <si>
    <t xml:space="preserve">Full CMDB not yet deployed — note as Partial for 2-1-1</t>
  </si>
  <si>
    <t xml:space="preserve">Third-Party Risk Framework — Vendor Engagement Letter</t>
  </si>
  <si>
    <t xml:space="preserve">Engagement letter confirming appointment of third-party risk framework consultant</t>
  </si>
  <si>
    <t xml:space="preserve">Procurement</t>
  </si>
  <si>
    <t xml:space="preserve">Framework draft not yet produced — confirm expected delivery date</t>
  </si>
  <si>
    <t xml:space="preserve">CA-010 / 1-2-1</t>
  </si>
  <si>
    <t xml:space="preserve">Risk Assessment Workshop Agenda and Participants</t>
  </si>
  <si>
    <t xml:space="preserve">Agenda and attendee list for risk assessment workshops commencing February 2025</t>
  </si>
  <si>
    <t xml:space="preserve">14 Feb 2025</t>
  </si>
  <si>
    <t xml:space="preserve">Risk register draft to follow — track in updated RCA-P3C-004</t>
  </si>
  <si>
    <t xml:space="preserve">CA-013 / 2-3-1</t>
  </si>
  <si>
    <t xml:space="preserve">Tenable.io Vendor Evaluation Report</t>
  </si>
  <si>
    <t xml:space="preserve">Internal evaluation report comparing Tenable.io vs Qualys. Decision: Tenable.io selected.</t>
  </si>
  <si>
    <t xml:space="preserve">To be obtained</t>
  </si>
  <si>
    <t xml:space="preserve">Confirm PO status and expected deployment date</t>
  </si>
  <si>
    <t xml:space="preserve">CA-015 / 2-2-2</t>
  </si>
  <si>
    <t xml:space="preserve">Azure AD Access Review Report</t>
  </si>
  <si>
    <t xml:space="preserve">Azure AD access review report for 14 privileged accounts. Completed January 2025.</t>
  </si>
  <si>
    <t xml:space="preserve">Oracle Insurance access review not formalised — note gap</t>
  </si>
  <si>
    <t xml:space="preserve">CA-020 / 3-3-3</t>
  </si>
  <si>
    <t xml:space="preserve">Azure Sentinel Workspace Configuration</t>
  </si>
  <si>
    <t xml:space="preserve">Azure Sentinel workspace overview confirming log sources connected: Azure AD, Azure Monitor, Guidewire</t>
  </si>
  <si>
    <t xml:space="preserve">Alert rules configuration not complete — Partial status</t>
  </si>
  <si>
    <t xml:space="preserve">EV-021</t>
  </si>
  <si>
    <t xml:space="preserve">Access Control Policy v1.0</t>
  </si>
  <si>
    <t xml:space="preserve">Documented access control policy included in cybersecurity policy framework (CA-005)</t>
  </si>
  <si>
    <t xml:space="preserve">Review policy coverage against ECC-2:2024 2-2-1 requirements</t>
  </si>
  <si>
    <t xml:space="preserve">EV-022</t>
  </si>
  <si>
    <t xml:space="preserve">2-9-1, 2-9-2, 2-9-3</t>
  </si>
  <si>
    <t xml:space="preserve">Data Centre Physical Access Log and CCTV Confirmation</t>
  </si>
  <si>
    <t xml:space="preserve">Physical access log for Riyadh DC server room (last 30 days) and confirmation of CCTV recording retention</t>
  </si>
  <si>
    <t xml:space="preserve">PDF / XLSX</t>
  </si>
  <si>
    <t xml:space="preserve">Confirm 12-month log retention and 90-day CCTV retention</t>
  </si>
  <si>
    <t xml:space="preserve">EV-023</t>
  </si>
  <si>
    <t xml:space="preserve">Azure ISO 27001 Certification</t>
  </si>
  <si>
    <t xml:space="preserve">Microsoft Azure ISO 27001 certification (current year) confirming CSP security certification</t>
  </si>
  <si>
    <t xml:space="preserve">Confirm certification currency — used for 4-3-7 Conformant status</t>
  </si>
  <si>
    <t xml:space="preserve">EV-024</t>
  </si>
  <si>
    <t xml:space="preserve">Najm Interface</t>
  </si>
  <si>
    <t xml:space="preserve">Najm Motor Claims Interface — Connection Documentation</t>
  </si>
  <si>
    <t xml:space="preserve">Technical documentation for Najm motor claims data interface — protocol, authentication, data types</t>
  </si>
  <si>
    <t xml:space="preserve">No security clauses in contract confirmed — document for 4-1-2 finding</t>
  </si>
  <si>
    <t xml:space="preserve">EV-025</t>
  </si>
  <si>
    <t xml:space="preserve">Shafafiyah Interface</t>
  </si>
  <si>
    <t xml:space="preserve">Shafafiyah SAMA Reporting Interface — Connection Documentation</t>
  </si>
  <si>
    <t xml:space="preserve">Technical documentation for Shafafiyah SAMA regulatory reporting interface</t>
  </si>
  <si>
    <t xml:space="preserve">INTERVIEW SCHEDULE  —  RCA-P3C-002  —  ECC-2:2024 Delta Assessment  —  Al Ameen Insurance Company</t>
  </si>
  <si>
    <t xml:space="preserve">Fieldwork Period: 10 February 2025 – 14 March 2025  |  Interviews conducted by kay Shahbaaz, GRC Auditor, Resolute Compliance Advisory LLP</t>
  </si>
  <si>
    <t xml:space="preserve">Interview Ref</t>
  </si>
  <si>
    <t xml:space="preserve">Interviewee / Role</t>
  </si>
  <si>
    <t xml:space="preserve">Department</t>
  </si>
  <si>
    <t xml:space="preserve">Scheduled Date</t>
  </si>
  <si>
    <t xml:space="preserve">Focus Areas</t>
  </si>
  <si>
    <t xml:space="preserve">Key Questions / Observations</t>
  </si>
  <si>
    <t xml:space="preserve">INT-001</t>
  </si>
  <si>
    <t xml:space="preserve">IT Security Manager (newly appointed)</t>
  </si>
  <si>
    <t xml:space="preserve">IT Security</t>
  </si>
  <si>
    <t xml:space="preserve">Cybersecurity governance; Policy ratification; CAP progress overview; Governance structure; Reporting lines</t>
  </si>
  <si>
    <t xml:space="preserve">What cybersecurity policies have been ratified? What is the reporting structure for the IT Security Manager? What actions from the Phase 1 CAP have been completed? What is the status of the risk assessment (CA-010)? What are the main challenges in implementing Phase 2 actions?</t>
  </si>
  <si>
    <t xml:space="preserve">Scheduled</t>
  </si>
  <si>
    <t xml:space="preserve">INT-002</t>
  </si>
  <si>
    <t xml:space="preserve">IT Operations</t>
  </si>
  <si>
    <t xml:space="preserve">System walkthroughs: Oracle Insurance, Guidewire, Azure AD; Vulnerability management; Log management; Change management; Network architecture</t>
  </si>
  <si>
    <t xml:space="preserve">Walk through Oracle IAM configuration. Confirm Guidewire access controls. Demonstrate Azure Monitor log retention settings. What is the current patch management process? When was the last change management review conducted? Can you show the network architecture diagram?</t>
  </si>
  <si>
    <t xml:space="preserve">INT-003</t>
  </si>
  <si>
    <t xml:space="preserve">Oracle Insurance System Administrator</t>
  </si>
  <si>
    <t xml:space="preserve">Oracle Insurance access controls; Credential management; Audit logging; Production system walkthrough</t>
  </si>
  <si>
    <t xml:space="preserve">Confirm all named accounts on Oracle Insurance production system. Show user activity logging configuration. What alerts are configured for Oracle Insurance? Who has access to production data? Has the shared admin account been fully decommissioned?</t>
  </si>
  <si>
    <t xml:space="preserve">INT-004</t>
  </si>
  <si>
    <t xml:space="preserve">Azure / Cloud Administrator</t>
  </si>
  <si>
    <t xml:space="preserve">Azure AD MFA; Conditional access policies; Azure Sentinel configuration; Cloud security baseline; Azure KSA workloads</t>
  </si>
  <si>
    <t xml:space="preserve">Demonstrate MFA enforcement for privileged accounts. Show conditional access policy configuration. What Azure Sentinel alert rules are active? What cloud security baseline is applied to Azure KSA workloads? Are CSPM tools deployed?</t>
  </si>
  <si>
    <t xml:space="preserve">INT-005</t>
  </si>
  <si>
    <t xml:space="preserve">Procurement / Contracts Representative</t>
  </si>
  <si>
    <t xml:space="preserve">Finance / Legal</t>
  </si>
  <si>
    <t xml:space="preserve">19 Feb 2025</t>
  </si>
  <si>
    <t xml:space="preserve">Third-party contract review: Najm, Shafafiyah, Munich Re, Swiss Re; Security clauses; Right-to-audit provisions; Data residency</t>
  </si>
  <si>
    <t xml:space="preserve">Obtain contracts for Najm, Shafafiyah, Munich Re, and Swiss Re. Are cybersecurity obligations included? Are there NCA/SAMA notification requirements in the contracts? Are data residency requirements documented? What is the process for contract renewal and security clause insertion?</t>
  </si>
  <si>
    <t xml:space="preserve">INT-006</t>
  </si>
  <si>
    <t xml:space="preserve">Internal Audit Representative (if available)</t>
  </si>
  <si>
    <t xml:space="preserve">Internal Audit</t>
  </si>
  <si>
    <t xml:space="preserve">26 Feb 2025</t>
  </si>
  <si>
    <t xml:space="preserve">Governance oversight; Audit findings follow-up from Project 3; Board reporting on cybersecurity; ECC-2:2024 awareness</t>
  </si>
  <si>
    <t xml:space="preserve">Has Internal Audit reviewed the Project 3 findings? Are cybersecurity findings tracked in the internal audit register? Has the Board received a cybersecurity status update since October 2024? Is ECC-2:2024 on the internal audit plan?</t>
  </si>
  <si>
    <t xml:space="preserve">Tentative — subject to availability</t>
  </si>
</sst>
</file>

<file path=xl/styles.xml><?xml version="1.0" encoding="utf-8"?>
<styleSheet xmlns="http://schemas.openxmlformats.org/spreadsheetml/2006/main">
  <numFmts count="1">
    <numFmt numFmtId="164" formatCode="General"/>
  </numFmts>
  <fonts count="2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C8A951"/>
      <name val="Arial"/>
      <family val="0"/>
      <charset val="1"/>
    </font>
    <font>
      <b val="true"/>
      <sz val="14"/>
      <color rgb="FF1B2A4A"/>
      <name val="Arial"/>
      <family val="0"/>
      <charset val="1"/>
    </font>
    <font>
      <i val="true"/>
      <sz val="10"/>
      <color rgb="FF666666"/>
      <name val="Arial"/>
      <family val="0"/>
      <charset val="1"/>
    </font>
    <font>
      <b val="true"/>
      <sz val="10"/>
      <color rgb="FF1B2A4A"/>
      <name val="Arial"/>
      <family val="0"/>
      <charset val="1"/>
    </font>
    <font>
      <sz val="10"/>
      <color rgb="FF1A1A1A"/>
      <name val="Arial"/>
      <family val="0"/>
      <charset val="1"/>
    </font>
    <font>
      <b val="true"/>
      <sz val="10"/>
      <color rgb="FFFFFFFF"/>
      <name val="Arial"/>
      <family val="0"/>
      <charset val="1"/>
    </font>
    <font>
      <b val="true"/>
      <sz val="10"/>
      <color rgb="FF1E6B3C"/>
      <name val="Arial"/>
      <family val="0"/>
      <charset val="1"/>
    </font>
    <font>
      <b val="true"/>
      <sz val="10"/>
      <color rgb="FFB45309"/>
      <name val="Arial"/>
      <family val="0"/>
      <charset val="1"/>
    </font>
    <font>
      <b val="true"/>
      <sz val="10"/>
      <color rgb="FF8B1A1A"/>
      <name val="Arial"/>
      <family val="0"/>
      <charset val="1"/>
    </font>
    <font>
      <b val="true"/>
      <sz val="10"/>
      <color rgb="FF666666"/>
      <name val="Arial"/>
      <family val="0"/>
      <charset val="1"/>
    </font>
    <font>
      <b val="true"/>
      <sz val="10"/>
      <color rgb="FF1A1A1A"/>
      <name val="Arial"/>
      <family val="0"/>
      <charset val="1"/>
    </font>
    <font>
      <i val="true"/>
      <sz val="9"/>
      <color rgb="FF666666"/>
      <name val="Arial"/>
      <family val="0"/>
      <charset val="1"/>
    </font>
    <font>
      <b val="true"/>
      <sz val="12"/>
      <color rgb="FFFFFFFF"/>
      <name val="Arial"/>
      <family val="0"/>
      <charset val="1"/>
    </font>
    <font>
      <b val="true"/>
      <sz val="9"/>
      <color rgb="FFFFFFFF"/>
      <name val="Arial"/>
      <family val="0"/>
      <charset val="1"/>
    </font>
    <font>
      <b val="true"/>
      <sz val="9"/>
      <color rgb="FF1B2A4A"/>
      <name val="Arial"/>
      <family val="0"/>
      <charset val="1"/>
    </font>
    <font>
      <sz val="9"/>
      <color rgb="FF666666"/>
      <name val="Arial"/>
      <family val="0"/>
      <charset val="1"/>
    </font>
    <font>
      <sz val="9"/>
      <color rgb="FF1A1A1A"/>
      <name val="Arial"/>
      <family val="0"/>
      <charset val="1"/>
    </font>
    <font>
      <b val="true"/>
      <sz val="9"/>
      <color rgb="FF8B1A1A"/>
      <name val="Arial"/>
      <family val="0"/>
      <charset val="1"/>
    </font>
    <font>
      <b val="true"/>
      <sz val="9"/>
      <color rgb="FFB45309"/>
      <name val="Arial"/>
      <family val="0"/>
      <charset val="1"/>
    </font>
    <font>
      <b val="true"/>
      <sz val="9"/>
      <color rgb="FF1E6B3C"/>
      <name val="Arial"/>
      <family val="0"/>
      <charset val="1"/>
    </font>
    <font>
      <b val="true"/>
      <sz val="9"/>
      <color rgb="FF666666"/>
      <name val="Arial"/>
      <family val="0"/>
      <charset val="1"/>
    </font>
    <font>
      <b val="true"/>
      <sz val="9"/>
      <color rgb="FF1A1A1A"/>
      <name val="Arial"/>
      <family val="0"/>
      <charset val="1"/>
    </font>
  </fonts>
  <fills count="11">
    <fill>
      <patternFill patternType="none"/>
    </fill>
    <fill>
      <patternFill patternType="gray125"/>
    </fill>
    <fill>
      <patternFill patternType="solid">
        <fgColor rgb="FF1B2A4A"/>
        <bgColor rgb="FF003366"/>
      </patternFill>
    </fill>
    <fill>
      <patternFill patternType="solid">
        <fgColor rgb="FFC8A951"/>
        <bgColor rgb="FFFF9900"/>
      </patternFill>
    </fill>
    <fill>
      <patternFill patternType="solid">
        <fgColor rgb="FFEEF1F7"/>
        <bgColor rgb="FFF5F5F5"/>
      </patternFill>
    </fill>
    <fill>
      <patternFill patternType="solid">
        <fgColor rgb="FFFFFFFF"/>
        <bgColor rgb="FFF5F5F5"/>
      </patternFill>
    </fill>
    <fill>
      <patternFill patternType="solid">
        <fgColor rgb="FFC8E6C9"/>
        <bgColor rgb="FFCCCCCC"/>
      </patternFill>
    </fill>
    <fill>
      <patternFill patternType="solid">
        <fgColor rgb="FFFFF9C4"/>
        <bgColor rgb="FFF5F5F5"/>
      </patternFill>
    </fill>
    <fill>
      <patternFill patternType="solid">
        <fgColor rgb="FFFFCDD2"/>
        <bgColor rgb="FFCCCCCC"/>
      </patternFill>
    </fill>
    <fill>
      <patternFill patternType="solid">
        <fgColor rgb="FFE3F2FD"/>
        <bgColor rgb="FFEEF1F7"/>
      </patternFill>
    </fill>
    <fill>
      <patternFill patternType="solid">
        <fgColor rgb="FFF5F5F5"/>
        <bgColor rgb="FFEEF1F7"/>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center"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center" vertical="center" textRotation="0" wrapText="true" indent="0" shrinkToFit="false"/>
      <protection locked="true" hidden="false"/>
    </xf>
    <xf numFmtId="164" fontId="17" fillId="2" borderId="0" xfId="0" applyFont="true" applyBorder="true" applyAlignment="true" applyProtection="false">
      <alignment horizontal="center" vertical="center" textRotation="0" wrapText="true" indent="0" shrinkToFit="false"/>
      <protection locked="true" hidden="false"/>
    </xf>
    <xf numFmtId="164" fontId="16" fillId="4" borderId="0" xfId="0" applyFont="true" applyBorder="true" applyAlignment="true" applyProtection="false">
      <alignment horizontal="center" vertical="center"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0" fillId="2" borderId="2" xfId="0" applyFont="true" applyBorder="true" applyAlignment="true" applyProtection="false">
      <alignment horizontal="left" vertical="center" textRotation="0" wrapText="true" indent="0" shrinkToFit="false"/>
      <protection locked="true" hidden="false"/>
    </xf>
    <xf numFmtId="164" fontId="19" fillId="4" borderId="1" xfId="0" applyFont="true" applyBorder="true" applyAlignment="true" applyProtection="false">
      <alignment horizontal="center" vertical="center" textRotation="0" wrapText="true" indent="0" shrinkToFit="false"/>
      <protection locked="true" hidden="false"/>
    </xf>
    <xf numFmtId="164" fontId="20" fillId="4" borderId="1" xfId="0" applyFont="true" applyBorder="true" applyAlignment="true" applyProtection="false">
      <alignment horizontal="left" vertical="center" textRotation="0" wrapText="true" indent="0" shrinkToFit="false"/>
      <protection locked="true" hidden="false"/>
    </xf>
    <xf numFmtId="164" fontId="21" fillId="4" borderId="1" xfId="0" applyFont="true" applyBorder="true" applyAlignment="true" applyProtection="false">
      <alignment horizontal="left" vertical="center" textRotation="0" wrapText="true" indent="0" shrinkToFit="false"/>
      <protection locked="true" hidden="false"/>
    </xf>
    <xf numFmtId="164" fontId="22" fillId="8" borderId="1" xfId="0" applyFont="true" applyBorder="true" applyAlignment="true" applyProtection="false">
      <alignment horizontal="center" vertical="center" textRotation="0" wrapText="true" indent="0" shrinkToFit="false"/>
      <protection locked="true" hidden="false"/>
    </xf>
    <xf numFmtId="164" fontId="23" fillId="7" borderId="1" xfId="0" applyFont="true" applyBorder="true" applyAlignment="true" applyProtection="false">
      <alignment horizontal="center" vertical="center" textRotation="0" wrapText="true" indent="0" shrinkToFit="false"/>
      <protection locked="true" hidden="false"/>
    </xf>
    <xf numFmtId="164" fontId="24" fillId="6" borderId="1" xfId="0" applyFont="true" applyBorder="true" applyAlignment="true" applyProtection="false">
      <alignment horizontal="center" vertical="center" textRotation="0" wrapText="true" indent="0" shrinkToFit="false"/>
      <protection locked="true" hidden="false"/>
    </xf>
    <xf numFmtId="164" fontId="19" fillId="5" borderId="1" xfId="0" applyFont="true" applyBorder="true" applyAlignment="true" applyProtection="false">
      <alignment horizontal="center" vertical="center" textRotation="0" wrapText="true" indent="0" shrinkToFit="false"/>
      <protection locked="true" hidden="false"/>
    </xf>
    <xf numFmtId="164" fontId="20" fillId="5" borderId="1" xfId="0" applyFont="true" applyBorder="true" applyAlignment="true" applyProtection="false">
      <alignment horizontal="left" vertical="center" textRotation="0" wrapText="true" indent="0" shrinkToFit="false"/>
      <protection locked="true" hidden="false"/>
    </xf>
    <xf numFmtId="164" fontId="21" fillId="5" borderId="1" xfId="0" applyFont="true" applyBorder="true" applyAlignment="true" applyProtection="false">
      <alignment horizontal="left" vertical="center" textRotation="0" wrapText="true" indent="0" shrinkToFit="false"/>
      <protection locked="true" hidden="false"/>
    </xf>
    <xf numFmtId="164" fontId="19" fillId="9" borderId="1" xfId="0" applyFont="true" applyBorder="true" applyAlignment="true" applyProtection="false">
      <alignment horizontal="center" vertical="center" textRotation="0" wrapText="true" indent="0" shrinkToFit="false"/>
      <protection locked="true" hidden="false"/>
    </xf>
    <xf numFmtId="164" fontId="25" fillId="10" borderId="1" xfId="0" applyFont="true" applyBorder="true" applyAlignment="true" applyProtection="false">
      <alignment horizontal="center" vertical="center" textRotation="0" wrapText="true" indent="0" shrinkToFit="false"/>
      <protection locked="true" hidden="false"/>
    </xf>
    <xf numFmtId="164" fontId="10" fillId="2" borderId="2" xfId="0" applyFont="true" applyBorder="true" applyAlignment="true" applyProtection="false">
      <alignment horizontal="right" vertical="center" textRotation="0" wrapText="true" indent="0" shrinkToFit="false"/>
      <protection locked="true" hidden="false"/>
    </xf>
    <xf numFmtId="164" fontId="20" fillId="4" borderId="1" xfId="0" applyFont="true" applyBorder="true" applyAlignment="true" applyProtection="false">
      <alignment horizontal="center" vertical="center" textRotation="0" wrapText="true" indent="0" shrinkToFit="false"/>
      <protection locked="true" hidden="false"/>
    </xf>
    <xf numFmtId="164" fontId="26" fillId="5" borderId="1" xfId="0" applyFont="true" applyBorder="true" applyAlignment="true" applyProtection="false">
      <alignment horizontal="center" vertical="center"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19" fillId="4" borderId="2" xfId="0" applyFont="true" applyBorder="true" applyAlignment="true" applyProtection="false">
      <alignment horizontal="left" vertical="center" textRotation="0" wrapText="true" indent="0" shrinkToFit="false"/>
      <protection locked="true" hidden="false"/>
    </xf>
    <xf numFmtId="164" fontId="19" fillId="4" borderId="1" xfId="0" applyFont="true" applyBorder="true" applyAlignment="true" applyProtection="false">
      <alignment horizontal="left" vertical="center" textRotation="0" wrapText="true" indent="0" shrinkToFit="false"/>
      <protection locked="true" hidden="false"/>
    </xf>
    <xf numFmtId="164" fontId="19" fillId="5" borderId="1" xfId="0" applyFont="true" applyBorder="true" applyAlignment="true" applyProtection="false">
      <alignment horizontal="left" vertical="center" textRotation="0" wrapText="true" indent="0" shrinkToFit="false"/>
      <protection locked="true" hidden="false"/>
    </xf>
    <xf numFmtId="164" fontId="24" fillId="6" borderId="1" xfId="0" applyFont="true" applyBorder="true" applyAlignment="true" applyProtection="false">
      <alignment horizontal="left" vertical="center" textRotation="0" wrapText="true" indent="0" shrinkToFit="false"/>
      <protection locked="true" hidden="false"/>
    </xf>
    <xf numFmtId="164" fontId="23" fillId="7"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6B3C"/>
      <rgbColor rgb="FF000080"/>
      <rgbColor rgb="FF808000"/>
      <rgbColor rgb="FF800080"/>
      <rgbColor rgb="FF008080"/>
      <rgbColor rgb="FFCCCCCC"/>
      <rgbColor rgb="FF808080"/>
      <rgbColor rgb="FF9999FF"/>
      <rgbColor rgb="FFB45309"/>
      <rgbColor rgb="FFFFF9C4"/>
      <rgbColor rgb="FFE3F2F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EF1F7"/>
      <rgbColor rgb="FFC8E6C9"/>
      <rgbColor rgb="FFF5F5F5"/>
      <rgbColor rgb="FF99CCFF"/>
      <rgbColor rgb="FFFF99CC"/>
      <rgbColor rgb="FFCC99FF"/>
      <rgbColor rgb="FFFFCDD2"/>
      <rgbColor rgb="FF3366FF"/>
      <rgbColor rgb="FF33CCCC"/>
      <rgbColor rgb="FF99CC00"/>
      <rgbColor rgb="FFFFCC00"/>
      <rgbColor rgb="FFFF9900"/>
      <rgbColor rgb="FFFF6600"/>
      <rgbColor rgb="FF666666"/>
      <rgbColor rgb="FFC8A951"/>
      <rgbColor rgb="FF003366"/>
      <rgbColor rgb="FF339966"/>
      <rgbColor rgb="FF003300"/>
      <rgbColor rgb="FF1A1A1A"/>
      <rgbColor rgb="FF8B1A1A"/>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42"/>
    <col collapsed="false" customWidth="true" hidden="false" outlineLevel="0" max="4" min="4" style="0" width="22"/>
  </cols>
  <sheetData>
    <row r="1" customFormat="false" ht="31.5" hidden="false" customHeight="true" outlineLevel="0" collapsed="false">
      <c r="A1" s="1" t="s">
        <v>0</v>
      </c>
      <c r="B1" s="1"/>
      <c r="C1" s="1"/>
      <c r="D1" s="1"/>
    </row>
    <row r="2" customFormat="false" ht="19.5" hidden="false" customHeight="true" outlineLevel="0" collapsed="false">
      <c r="A2" s="2" t="s">
        <v>1</v>
      </c>
      <c r="B2" s="2"/>
      <c r="C2" s="2"/>
      <c r="D2" s="2"/>
    </row>
    <row r="3" customFormat="false" ht="3.75" hidden="false" customHeight="true" outlineLevel="0" collapsed="false">
      <c r="A3" s="3"/>
      <c r="B3" s="3"/>
      <c r="C3" s="3"/>
      <c r="D3" s="3"/>
    </row>
    <row r="4" customFormat="false" ht="13.5" hidden="false" customHeight="true" outlineLevel="0" collapsed="false">
      <c r="A4" s="4"/>
      <c r="B4" s="4"/>
      <c r="C4" s="4"/>
      <c r="D4" s="4"/>
    </row>
    <row r="5" customFormat="false" ht="27.75" hidden="false" customHeight="true" outlineLevel="0" collapsed="false">
      <c r="A5" s="5" t="s">
        <v>2</v>
      </c>
      <c r="B5" s="5"/>
      <c r="C5" s="5"/>
      <c r="D5" s="5"/>
    </row>
    <row r="6" customFormat="false" ht="18" hidden="false" customHeight="true" outlineLevel="0" collapsed="false">
      <c r="A6" s="6" t="s">
        <v>3</v>
      </c>
      <c r="B6" s="6"/>
      <c r="C6" s="6"/>
      <c r="D6" s="6"/>
    </row>
    <row r="7" customFormat="false" ht="13.5" hidden="false" customHeight="true" outlineLevel="0" collapsed="false">
      <c r="A7" s="4"/>
      <c r="B7" s="4"/>
      <c r="C7" s="4"/>
      <c r="D7" s="4"/>
    </row>
    <row r="8" customFormat="false" ht="18" hidden="false" customHeight="true" outlineLevel="0" collapsed="false">
      <c r="A8" s="7"/>
      <c r="B8" s="8" t="s">
        <v>4</v>
      </c>
      <c r="C8" s="9" t="s">
        <v>5</v>
      </c>
      <c r="D8" s="7"/>
    </row>
    <row r="9" customFormat="false" ht="18" hidden="false" customHeight="true" outlineLevel="0" collapsed="false">
      <c r="A9" s="10"/>
      <c r="B9" s="11" t="s">
        <v>6</v>
      </c>
      <c r="C9" s="12" t="s">
        <v>7</v>
      </c>
      <c r="D9" s="10"/>
    </row>
    <row r="10" customFormat="false" ht="18" hidden="false" customHeight="true" outlineLevel="0" collapsed="false">
      <c r="A10" s="7"/>
      <c r="B10" s="8" t="s">
        <v>8</v>
      </c>
      <c r="C10" s="9" t="s">
        <v>9</v>
      </c>
      <c r="D10" s="7"/>
    </row>
    <row r="11" customFormat="false" ht="18" hidden="false" customHeight="true" outlineLevel="0" collapsed="false">
      <c r="A11" s="10"/>
      <c r="B11" s="11" t="s">
        <v>10</v>
      </c>
      <c r="C11" s="12" t="s">
        <v>11</v>
      </c>
      <c r="D11" s="10"/>
    </row>
    <row r="12" customFormat="false" ht="18" hidden="false" customHeight="true" outlineLevel="0" collapsed="false">
      <c r="A12" s="7"/>
      <c r="B12" s="8" t="s">
        <v>12</v>
      </c>
      <c r="C12" s="9" t="s">
        <v>13</v>
      </c>
      <c r="D12" s="7"/>
    </row>
    <row r="13" customFormat="false" ht="18" hidden="false" customHeight="true" outlineLevel="0" collapsed="false">
      <c r="A13" s="10"/>
      <c r="B13" s="11" t="s">
        <v>14</v>
      </c>
      <c r="C13" s="12" t="s">
        <v>15</v>
      </c>
      <c r="D13" s="10"/>
    </row>
    <row r="14" customFormat="false" ht="18" hidden="false" customHeight="true" outlineLevel="0" collapsed="false">
      <c r="A14" s="7"/>
      <c r="B14" s="8" t="s">
        <v>16</v>
      </c>
      <c r="C14" s="9" t="s">
        <v>17</v>
      </c>
      <c r="D14" s="7"/>
    </row>
    <row r="15" customFormat="false" ht="18" hidden="false" customHeight="true" outlineLevel="0" collapsed="false">
      <c r="A15" s="10"/>
      <c r="B15" s="11" t="s">
        <v>18</v>
      </c>
      <c r="C15" s="12" t="s">
        <v>19</v>
      </c>
      <c r="D15" s="10"/>
    </row>
    <row r="16" customFormat="false" ht="18" hidden="false" customHeight="true" outlineLevel="0" collapsed="false">
      <c r="A16" s="7"/>
      <c r="B16" s="8" t="s">
        <v>20</v>
      </c>
      <c r="C16" s="9" t="s">
        <v>21</v>
      </c>
      <c r="D16" s="7"/>
    </row>
    <row r="17" customFormat="false" ht="18" hidden="false" customHeight="true" outlineLevel="0" collapsed="false">
      <c r="A17" s="10"/>
      <c r="B17" s="11" t="s">
        <v>22</v>
      </c>
      <c r="C17" s="12" t="s">
        <v>23</v>
      </c>
      <c r="D17" s="10"/>
    </row>
    <row r="18" customFormat="false" ht="18" hidden="false" customHeight="true" outlineLevel="0" collapsed="false">
      <c r="A18" s="7"/>
      <c r="B18" s="8" t="s">
        <v>24</v>
      </c>
      <c r="C18" s="9" t="s">
        <v>25</v>
      </c>
      <c r="D18" s="7"/>
    </row>
    <row r="20" customFormat="false" ht="13.5" hidden="false" customHeight="true" outlineLevel="0" collapsed="false">
      <c r="A20" s="4"/>
      <c r="B20" s="4"/>
      <c r="C20" s="4"/>
      <c r="D20" s="4"/>
    </row>
    <row r="21" customFormat="false" ht="19.5" hidden="false" customHeight="true" outlineLevel="0" collapsed="false">
      <c r="A21" s="13" t="s">
        <v>26</v>
      </c>
      <c r="B21" s="13"/>
      <c r="C21" s="13"/>
      <c r="D21" s="13"/>
    </row>
    <row r="22" customFormat="false" ht="31.5" hidden="false" customHeight="true" outlineLevel="0" collapsed="false">
      <c r="A22" s="7"/>
      <c r="B22" s="8" t="s">
        <v>27</v>
      </c>
      <c r="C22" s="9" t="s">
        <v>28</v>
      </c>
      <c r="D22" s="7"/>
    </row>
    <row r="23" customFormat="false" ht="31.5" hidden="false" customHeight="true" outlineLevel="0" collapsed="false">
      <c r="A23" s="10"/>
      <c r="B23" s="11" t="s">
        <v>29</v>
      </c>
      <c r="C23" s="12" t="s">
        <v>30</v>
      </c>
      <c r="D23" s="10"/>
    </row>
    <row r="24" customFormat="false" ht="31.5" hidden="false" customHeight="true" outlineLevel="0" collapsed="false">
      <c r="A24" s="7"/>
      <c r="B24" s="8" t="s">
        <v>31</v>
      </c>
      <c r="C24" s="9" t="s">
        <v>32</v>
      </c>
      <c r="D24" s="7"/>
    </row>
    <row r="25" customFormat="false" ht="31.5" hidden="false" customHeight="true" outlineLevel="0" collapsed="false">
      <c r="A25" s="10"/>
      <c r="B25" s="11" t="s">
        <v>33</v>
      </c>
      <c r="C25" s="12" t="s">
        <v>34</v>
      </c>
      <c r="D25" s="10"/>
    </row>
    <row r="26" customFormat="false" ht="31.5" hidden="false" customHeight="true" outlineLevel="0" collapsed="false">
      <c r="A26" s="7"/>
      <c r="B26" s="8" t="s">
        <v>35</v>
      </c>
      <c r="C26" s="9" t="s">
        <v>36</v>
      </c>
      <c r="D26" s="7"/>
    </row>
    <row r="28" customFormat="false" ht="19.5" hidden="false" customHeight="true" outlineLevel="0" collapsed="false">
      <c r="A28" s="13" t="s">
        <v>37</v>
      </c>
      <c r="B28" s="13"/>
      <c r="C28" s="13"/>
      <c r="D28" s="13"/>
    </row>
    <row r="29" customFormat="false" ht="18" hidden="false" customHeight="true" outlineLevel="0" collapsed="false">
      <c r="A29" s="7"/>
      <c r="B29" s="14" t="s">
        <v>38</v>
      </c>
      <c r="C29" s="9" t="s">
        <v>39</v>
      </c>
      <c r="D29" s="7"/>
    </row>
    <row r="30" customFormat="false" ht="18" hidden="false" customHeight="true" outlineLevel="0" collapsed="false">
      <c r="A30" s="10"/>
      <c r="B30" s="15" t="s">
        <v>40</v>
      </c>
      <c r="C30" s="12" t="s">
        <v>41</v>
      </c>
      <c r="D30" s="10"/>
    </row>
    <row r="31" customFormat="false" ht="18" hidden="false" customHeight="true" outlineLevel="0" collapsed="false">
      <c r="A31" s="7"/>
      <c r="B31" s="16" t="s">
        <v>42</v>
      </c>
      <c r="C31" s="9" t="s">
        <v>43</v>
      </c>
      <c r="D31" s="7"/>
    </row>
    <row r="32" customFormat="false" ht="18" hidden="false" customHeight="true" outlineLevel="0" collapsed="false">
      <c r="A32" s="10"/>
      <c r="B32" s="17" t="s">
        <v>44</v>
      </c>
      <c r="C32" s="12" t="s">
        <v>45</v>
      </c>
      <c r="D32" s="10"/>
    </row>
    <row r="33" customFormat="false" ht="18" hidden="false" customHeight="true" outlineLevel="0" collapsed="false">
      <c r="A33" s="7"/>
      <c r="B33" s="18" t="s">
        <v>46</v>
      </c>
      <c r="C33" s="9" t="s">
        <v>47</v>
      </c>
      <c r="D33" s="7"/>
    </row>
    <row r="34" customFormat="false" ht="18" hidden="false" customHeight="true" outlineLevel="0" collapsed="false">
      <c r="A34" s="10"/>
      <c r="B34" s="19" t="s">
        <v>48</v>
      </c>
      <c r="C34" s="12" t="s">
        <v>49</v>
      </c>
      <c r="D34" s="10"/>
    </row>
    <row r="36" customFormat="false" ht="15.75" hidden="false" customHeight="true" outlineLevel="0" collapsed="false">
      <c r="A36" s="20" t="s">
        <v>50</v>
      </c>
      <c r="B36" s="20"/>
      <c r="C36" s="20"/>
      <c r="D36" s="20"/>
    </row>
  </sheetData>
  <mergeCells count="11">
    <mergeCell ref="A1:D1"/>
    <mergeCell ref="A2:D2"/>
    <mergeCell ref="A3:D3"/>
    <mergeCell ref="A4:D4"/>
    <mergeCell ref="A5:D5"/>
    <mergeCell ref="A6:D6"/>
    <mergeCell ref="A7:D7"/>
    <mergeCell ref="A20:D20"/>
    <mergeCell ref="A21:D21"/>
    <mergeCell ref="A28:D28"/>
    <mergeCell ref="A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26"/>
    <col collapsed="false" customWidth="true" hidden="false" outlineLevel="0" max="4" min="4" style="0" width="46"/>
    <col collapsed="false" customWidth="true" hidden="false" outlineLevel="0" max="5" min="5" style="0" width="14"/>
    <col collapsed="false" customWidth="true" hidden="false" outlineLevel="0" max="7" min="6" style="0" width="18"/>
    <col collapsed="false" customWidth="true" hidden="false" outlineLevel="0" max="8" min="8" style="0" width="14"/>
    <col collapsed="false" customWidth="true" hidden="false" outlineLevel="0" max="9" min="9" style="0" width="18"/>
    <col collapsed="false" customWidth="true" hidden="false" outlineLevel="0" max="10" min="10" style="0" width="40"/>
  </cols>
  <sheetData>
    <row r="1" customFormat="false" ht="25.5" hidden="false" customHeight="true" outlineLevel="0" collapsed="false">
      <c r="A1" s="21" t="s">
        <v>51</v>
      </c>
      <c r="B1" s="21"/>
      <c r="C1" s="21"/>
      <c r="D1" s="21"/>
      <c r="E1" s="21"/>
      <c r="F1" s="21"/>
      <c r="G1" s="21"/>
      <c r="H1" s="21"/>
      <c r="I1" s="21"/>
      <c r="J1" s="21"/>
    </row>
    <row r="2" customFormat="false" ht="15.75" hidden="false" customHeight="true" outlineLevel="0" collapsed="false">
      <c r="A2" s="22" t="s">
        <v>52</v>
      </c>
      <c r="B2" s="22"/>
      <c r="C2" s="22"/>
      <c r="D2" s="22"/>
      <c r="E2" s="22"/>
      <c r="F2" s="22"/>
      <c r="G2" s="22"/>
      <c r="H2" s="22"/>
      <c r="I2" s="22"/>
      <c r="J2" s="22"/>
    </row>
    <row r="3" customFormat="false" ht="31.5" hidden="false" customHeight="true" outlineLevel="0" collapsed="false">
      <c r="A3" s="23" t="s">
        <v>53</v>
      </c>
      <c r="B3" s="23" t="s">
        <v>54</v>
      </c>
      <c r="C3" s="23" t="s">
        <v>55</v>
      </c>
      <c r="D3" s="23" t="s">
        <v>56</v>
      </c>
      <c r="E3" s="23" t="s">
        <v>57</v>
      </c>
      <c r="F3" s="23" t="s">
        <v>58</v>
      </c>
      <c r="G3" s="23" t="s">
        <v>59</v>
      </c>
      <c r="H3" s="23" t="s">
        <v>60</v>
      </c>
      <c r="I3" s="23" t="s">
        <v>61</v>
      </c>
      <c r="J3" s="23" t="s">
        <v>62</v>
      </c>
    </row>
    <row r="4" customFormat="false" ht="18" hidden="false" customHeight="true" outlineLevel="0" collapsed="false">
      <c r="A4" s="24" t="s">
        <v>63</v>
      </c>
      <c r="B4" s="24"/>
      <c r="C4" s="24"/>
      <c r="D4" s="24"/>
      <c r="E4" s="24"/>
      <c r="F4" s="24"/>
      <c r="G4" s="24"/>
      <c r="H4" s="24"/>
      <c r="I4" s="24"/>
      <c r="J4" s="24"/>
    </row>
    <row r="5" customFormat="false" ht="42" hidden="false" customHeight="true" outlineLevel="0" collapsed="false">
      <c r="A5" s="25" t="s">
        <v>64</v>
      </c>
      <c r="B5" s="26" t="s">
        <v>65</v>
      </c>
      <c r="C5" s="27" t="s">
        <v>66</v>
      </c>
      <c r="D5" s="27" t="s">
        <v>67</v>
      </c>
      <c r="E5" s="25" t="s">
        <v>68</v>
      </c>
      <c r="F5" s="28" t="s">
        <v>42</v>
      </c>
      <c r="G5" s="29" t="s">
        <v>40</v>
      </c>
      <c r="H5" s="30" t="s">
        <v>69</v>
      </c>
      <c r="I5" s="26"/>
      <c r="J5" s="27"/>
    </row>
    <row r="6" customFormat="false" ht="42" hidden="false" customHeight="true" outlineLevel="0" collapsed="false">
      <c r="A6" s="25" t="s">
        <v>70</v>
      </c>
      <c r="B6" s="26" t="s">
        <v>65</v>
      </c>
      <c r="C6" s="27" t="s">
        <v>66</v>
      </c>
      <c r="D6" s="27" t="s">
        <v>71</v>
      </c>
      <c r="E6" s="25" t="s">
        <v>68</v>
      </c>
      <c r="F6" s="28" t="s">
        <v>42</v>
      </c>
      <c r="G6" s="28" t="s">
        <v>42</v>
      </c>
      <c r="H6" s="29" t="s">
        <v>72</v>
      </c>
      <c r="I6" s="26"/>
      <c r="J6" s="27"/>
    </row>
    <row r="7" customFormat="false" ht="42" hidden="false" customHeight="true" outlineLevel="0" collapsed="false">
      <c r="A7" s="31" t="s">
        <v>73</v>
      </c>
      <c r="B7" s="32" t="s">
        <v>65</v>
      </c>
      <c r="C7" s="33" t="s">
        <v>66</v>
      </c>
      <c r="D7" s="33" t="s">
        <v>74</v>
      </c>
      <c r="E7" s="25" t="s">
        <v>68</v>
      </c>
      <c r="F7" s="28" t="s">
        <v>42</v>
      </c>
      <c r="G7" s="29" t="s">
        <v>40</v>
      </c>
      <c r="H7" s="30" t="s">
        <v>69</v>
      </c>
      <c r="I7" s="32"/>
      <c r="J7" s="33"/>
    </row>
    <row r="8" customFormat="false" ht="42" hidden="false" customHeight="true" outlineLevel="0" collapsed="false">
      <c r="A8" s="25" t="s">
        <v>75</v>
      </c>
      <c r="B8" s="26" t="s">
        <v>65</v>
      </c>
      <c r="C8" s="27" t="s">
        <v>66</v>
      </c>
      <c r="D8" s="27" t="s">
        <v>76</v>
      </c>
      <c r="E8" s="25" t="s">
        <v>68</v>
      </c>
      <c r="F8" s="28" t="s">
        <v>42</v>
      </c>
      <c r="G8" s="29" t="s">
        <v>40</v>
      </c>
      <c r="H8" s="30" t="s">
        <v>69</v>
      </c>
      <c r="I8" s="26"/>
      <c r="J8" s="27"/>
    </row>
    <row r="9" customFormat="false" ht="42" hidden="false" customHeight="true" outlineLevel="0" collapsed="false">
      <c r="A9" s="31" t="s">
        <v>77</v>
      </c>
      <c r="B9" s="32" t="s">
        <v>65</v>
      </c>
      <c r="C9" s="33" t="s">
        <v>78</v>
      </c>
      <c r="D9" s="33" t="s">
        <v>79</v>
      </c>
      <c r="E9" s="25" t="s">
        <v>68</v>
      </c>
      <c r="F9" s="28" t="s">
        <v>42</v>
      </c>
      <c r="G9" s="29" t="s">
        <v>40</v>
      </c>
      <c r="H9" s="30" t="s">
        <v>69</v>
      </c>
      <c r="I9" s="32"/>
      <c r="J9" s="33"/>
    </row>
    <row r="10" customFormat="false" ht="42" hidden="false" customHeight="true" outlineLevel="0" collapsed="false">
      <c r="A10" s="25" t="s">
        <v>80</v>
      </c>
      <c r="B10" s="26" t="s">
        <v>65</v>
      </c>
      <c r="C10" s="27" t="s">
        <v>78</v>
      </c>
      <c r="D10" s="27" t="s">
        <v>81</v>
      </c>
      <c r="E10" s="25" t="s">
        <v>68</v>
      </c>
      <c r="F10" s="28" t="s">
        <v>42</v>
      </c>
      <c r="G10" s="29" t="s">
        <v>40</v>
      </c>
      <c r="H10" s="30" t="s">
        <v>69</v>
      </c>
      <c r="I10" s="26"/>
      <c r="J10" s="27"/>
    </row>
    <row r="11" customFormat="false" ht="42" hidden="false" customHeight="true" outlineLevel="0" collapsed="false">
      <c r="A11" s="31" t="s">
        <v>82</v>
      </c>
      <c r="B11" s="32" t="s">
        <v>65</v>
      </c>
      <c r="C11" s="33" t="s">
        <v>78</v>
      </c>
      <c r="D11" s="33" t="s">
        <v>83</v>
      </c>
      <c r="E11" s="25" t="s">
        <v>68</v>
      </c>
      <c r="F11" s="28" t="s">
        <v>42</v>
      </c>
      <c r="G11" s="28" t="s">
        <v>42</v>
      </c>
      <c r="H11" s="29" t="s">
        <v>72</v>
      </c>
      <c r="I11" s="32"/>
      <c r="J11" s="33"/>
    </row>
    <row r="12" customFormat="false" ht="42" hidden="false" customHeight="true" outlineLevel="0" collapsed="false">
      <c r="A12" s="25" t="s">
        <v>84</v>
      </c>
      <c r="B12" s="26" t="s">
        <v>65</v>
      </c>
      <c r="C12" s="27" t="s">
        <v>78</v>
      </c>
      <c r="D12" s="27" t="s">
        <v>85</v>
      </c>
      <c r="E12" s="25" t="s">
        <v>68</v>
      </c>
      <c r="F12" s="28" t="s">
        <v>42</v>
      </c>
      <c r="G12" s="28" t="s">
        <v>42</v>
      </c>
      <c r="H12" s="29" t="s">
        <v>72</v>
      </c>
      <c r="I12" s="26"/>
      <c r="J12" s="27"/>
    </row>
    <row r="13" customFormat="false" ht="42" hidden="false" customHeight="true" outlineLevel="0" collapsed="false">
      <c r="A13" s="31" t="s">
        <v>86</v>
      </c>
      <c r="B13" s="32" t="s">
        <v>65</v>
      </c>
      <c r="C13" s="33" t="s">
        <v>87</v>
      </c>
      <c r="D13" s="33" t="s">
        <v>88</v>
      </c>
      <c r="E13" s="25" t="s">
        <v>68</v>
      </c>
      <c r="F13" s="28" t="s">
        <v>42</v>
      </c>
      <c r="G13" s="30" t="s">
        <v>38</v>
      </c>
      <c r="H13" s="30" t="s">
        <v>69</v>
      </c>
      <c r="I13" s="32"/>
      <c r="J13" s="33"/>
    </row>
    <row r="14" customFormat="false" ht="42" hidden="false" customHeight="true" outlineLevel="0" collapsed="false">
      <c r="A14" s="25" t="s">
        <v>89</v>
      </c>
      <c r="B14" s="26" t="s">
        <v>65</v>
      </c>
      <c r="C14" s="27" t="s">
        <v>87</v>
      </c>
      <c r="D14" s="27" t="s">
        <v>90</v>
      </c>
      <c r="E14" s="25" t="s">
        <v>68</v>
      </c>
      <c r="F14" s="28" t="s">
        <v>42</v>
      </c>
      <c r="G14" s="29" t="s">
        <v>40</v>
      </c>
      <c r="H14" s="30" t="s">
        <v>69</v>
      </c>
      <c r="I14" s="26"/>
      <c r="J14" s="27"/>
    </row>
    <row r="15" customFormat="false" ht="42" hidden="false" customHeight="true" outlineLevel="0" collapsed="false">
      <c r="A15" s="31" t="s">
        <v>91</v>
      </c>
      <c r="B15" s="32" t="s">
        <v>65</v>
      </c>
      <c r="C15" s="33" t="s">
        <v>87</v>
      </c>
      <c r="D15" s="33" t="s">
        <v>92</v>
      </c>
      <c r="E15" s="25" t="s">
        <v>68</v>
      </c>
      <c r="F15" s="29" t="s">
        <v>40</v>
      </c>
      <c r="G15" s="29" t="s">
        <v>40</v>
      </c>
      <c r="H15" s="29" t="s">
        <v>72</v>
      </c>
      <c r="I15" s="32"/>
      <c r="J15" s="33"/>
    </row>
    <row r="16" customFormat="false" ht="42" hidden="false" customHeight="true" outlineLevel="0" collapsed="false">
      <c r="A16" s="25" t="s">
        <v>93</v>
      </c>
      <c r="B16" s="26" t="s">
        <v>65</v>
      </c>
      <c r="C16" s="27" t="s">
        <v>94</v>
      </c>
      <c r="D16" s="27" t="s">
        <v>95</v>
      </c>
      <c r="E16" s="25" t="s">
        <v>68</v>
      </c>
      <c r="F16" s="28" t="s">
        <v>42</v>
      </c>
      <c r="G16" s="29" t="s">
        <v>40</v>
      </c>
      <c r="H16" s="30" t="s">
        <v>69</v>
      </c>
      <c r="I16" s="26"/>
      <c r="J16" s="27"/>
    </row>
    <row r="17" customFormat="false" ht="42" hidden="false" customHeight="true" outlineLevel="0" collapsed="false">
      <c r="A17" s="31" t="s">
        <v>96</v>
      </c>
      <c r="B17" s="32" t="s">
        <v>65</v>
      </c>
      <c r="C17" s="33" t="s">
        <v>94</v>
      </c>
      <c r="D17" s="33" t="s">
        <v>97</v>
      </c>
      <c r="E17" s="25" t="s">
        <v>68</v>
      </c>
      <c r="F17" s="28" t="s">
        <v>42</v>
      </c>
      <c r="G17" s="28" t="s">
        <v>42</v>
      </c>
      <c r="H17" s="29" t="s">
        <v>72</v>
      </c>
      <c r="I17" s="32"/>
      <c r="J17" s="33"/>
    </row>
    <row r="18" customFormat="false" ht="42" hidden="false" customHeight="true" outlineLevel="0" collapsed="false">
      <c r="A18" s="25" t="s">
        <v>98</v>
      </c>
      <c r="B18" s="26" t="s">
        <v>65</v>
      </c>
      <c r="C18" s="27" t="s">
        <v>94</v>
      </c>
      <c r="D18" s="27" t="s">
        <v>99</v>
      </c>
      <c r="E18" s="25" t="s">
        <v>68</v>
      </c>
      <c r="F18" s="28" t="s">
        <v>42</v>
      </c>
      <c r="G18" s="28" t="s">
        <v>42</v>
      </c>
      <c r="H18" s="29" t="s">
        <v>72</v>
      </c>
      <c r="I18" s="26"/>
      <c r="J18" s="27"/>
    </row>
    <row r="19" customFormat="false" ht="42" hidden="false" customHeight="true" outlineLevel="0" collapsed="false">
      <c r="A19" s="31" t="s">
        <v>100</v>
      </c>
      <c r="B19" s="32" t="s">
        <v>65</v>
      </c>
      <c r="C19" s="33" t="s">
        <v>94</v>
      </c>
      <c r="D19" s="33" t="s">
        <v>101</v>
      </c>
      <c r="E19" s="25" t="s">
        <v>68</v>
      </c>
      <c r="F19" s="28" t="s">
        <v>42</v>
      </c>
      <c r="G19" s="28" t="s">
        <v>42</v>
      </c>
      <c r="H19" s="29" t="s">
        <v>72</v>
      </c>
      <c r="I19" s="32"/>
      <c r="J19" s="33"/>
    </row>
    <row r="20" customFormat="false" ht="42" hidden="false" customHeight="true" outlineLevel="0" collapsed="false">
      <c r="A20" s="25" t="s">
        <v>102</v>
      </c>
      <c r="B20" s="26" t="s">
        <v>65</v>
      </c>
      <c r="C20" s="27" t="s">
        <v>103</v>
      </c>
      <c r="D20" s="27" t="s">
        <v>104</v>
      </c>
      <c r="E20" s="25" t="s">
        <v>68</v>
      </c>
      <c r="F20" s="29" t="s">
        <v>40</v>
      </c>
      <c r="G20" s="29" t="s">
        <v>40</v>
      </c>
      <c r="H20" s="29" t="s">
        <v>72</v>
      </c>
      <c r="I20" s="26"/>
      <c r="J20" s="27"/>
    </row>
    <row r="21" customFormat="false" ht="42" hidden="false" customHeight="true" outlineLevel="0" collapsed="false">
      <c r="A21" s="31" t="s">
        <v>105</v>
      </c>
      <c r="B21" s="32" t="s">
        <v>65</v>
      </c>
      <c r="C21" s="33" t="s">
        <v>103</v>
      </c>
      <c r="D21" s="33" t="s">
        <v>106</v>
      </c>
      <c r="E21" s="25" t="s">
        <v>68</v>
      </c>
      <c r="F21" s="28" t="s">
        <v>42</v>
      </c>
      <c r="G21" s="29" t="s">
        <v>40</v>
      </c>
      <c r="H21" s="30" t="s">
        <v>69</v>
      </c>
      <c r="I21" s="32"/>
      <c r="J21" s="33"/>
    </row>
    <row r="22" customFormat="false" ht="42" hidden="false" customHeight="true" outlineLevel="0" collapsed="false">
      <c r="A22" s="25" t="s">
        <v>107</v>
      </c>
      <c r="B22" s="26" t="s">
        <v>65</v>
      </c>
      <c r="C22" s="27" t="s">
        <v>103</v>
      </c>
      <c r="D22" s="27" t="s">
        <v>108</v>
      </c>
      <c r="E22" s="25" t="s">
        <v>68</v>
      </c>
      <c r="F22" s="28" t="s">
        <v>42</v>
      </c>
      <c r="G22" s="29" t="s">
        <v>40</v>
      </c>
      <c r="H22" s="30" t="s">
        <v>69</v>
      </c>
      <c r="I22" s="26"/>
      <c r="J22" s="27"/>
    </row>
    <row r="23" customFormat="false" ht="42" hidden="false" customHeight="true" outlineLevel="0" collapsed="false">
      <c r="A23" s="31" t="s">
        <v>109</v>
      </c>
      <c r="B23" s="32" t="s">
        <v>65</v>
      </c>
      <c r="C23" s="33" t="s">
        <v>110</v>
      </c>
      <c r="D23" s="33" t="s">
        <v>111</v>
      </c>
      <c r="E23" s="34" t="s">
        <v>112</v>
      </c>
      <c r="F23" s="35" t="s">
        <v>46</v>
      </c>
      <c r="G23" s="28" t="s">
        <v>42</v>
      </c>
      <c r="H23" s="34" t="s">
        <v>113</v>
      </c>
      <c r="I23" s="32"/>
      <c r="J23" s="33"/>
    </row>
    <row r="24" customFormat="false" ht="42" hidden="false" customHeight="true" outlineLevel="0" collapsed="false">
      <c r="A24" s="25" t="s">
        <v>114</v>
      </c>
      <c r="B24" s="26" t="s">
        <v>65</v>
      </c>
      <c r="C24" s="27" t="s">
        <v>110</v>
      </c>
      <c r="D24" s="27" t="s">
        <v>115</v>
      </c>
      <c r="E24" s="34" t="s">
        <v>112</v>
      </c>
      <c r="F24" s="35" t="s">
        <v>46</v>
      </c>
      <c r="G24" s="28" t="s">
        <v>42</v>
      </c>
      <c r="H24" s="34" t="s">
        <v>113</v>
      </c>
      <c r="I24" s="26"/>
      <c r="J24" s="27"/>
    </row>
    <row r="25" customFormat="false" ht="42" hidden="false" customHeight="true" outlineLevel="0" collapsed="false">
      <c r="A25" s="31" t="s">
        <v>116</v>
      </c>
      <c r="B25" s="32" t="s">
        <v>65</v>
      </c>
      <c r="C25" s="33" t="s">
        <v>110</v>
      </c>
      <c r="D25" s="33" t="s">
        <v>117</v>
      </c>
      <c r="E25" s="34" t="s">
        <v>112</v>
      </c>
      <c r="F25" s="35" t="s">
        <v>46</v>
      </c>
      <c r="G25" s="28" t="s">
        <v>42</v>
      </c>
      <c r="H25" s="34" t="s">
        <v>113</v>
      </c>
      <c r="I25" s="32"/>
      <c r="J25" s="33"/>
    </row>
    <row r="26" customFormat="false" ht="18" hidden="false" customHeight="true" outlineLevel="0" collapsed="false">
      <c r="A26" s="24" t="s">
        <v>118</v>
      </c>
      <c r="B26" s="24"/>
      <c r="C26" s="24"/>
      <c r="D26" s="24"/>
      <c r="E26" s="24"/>
      <c r="F26" s="24"/>
      <c r="G26" s="24"/>
      <c r="H26" s="24"/>
      <c r="I26" s="24"/>
      <c r="J26" s="24"/>
    </row>
    <row r="27" customFormat="false" ht="42" hidden="false" customHeight="true" outlineLevel="0" collapsed="false">
      <c r="A27" s="25" t="s">
        <v>119</v>
      </c>
      <c r="B27" s="26" t="s">
        <v>120</v>
      </c>
      <c r="C27" s="27" t="s">
        <v>121</v>
      </c>
      <c r="D27" s="27" t="s">
        <v>122</v>
      </c>
      <c r="E27" s="25" t="s">
        <v>68</v>
      </c>
      <c r="F27" s="28" t="s">
        <v>42</v>
      </c>
      <c r="G27" s="29" t="s">
        <v>40</v>
      </c>
      <c r="H27" s="30" t="s">
        <v>69</v>
      </c>
      <c r="I27" s="26"/>
      <c r="J27" s="27"/>
    </row>
    <row r="28" customFormat="false" ht="42" hidden="false" customHeight="true" outlineLevel="0" collapsed="false">
      <c r="A28" s="25" t="s">
        <v>123</v>
      </c>
      <c r="B28" s="26" t="s">
        <v>120</v>
      </c>
      <c r="C28" s="27" t="s">
        <v>121</v>
      </c>
      <c r="D28" s="27" t="s">
        <v>124</v>
      </c>
      <c r="E28" s="25" t="s">
        <v>68</v>
      </c>
      <c r="F28" s="28" t="s">
        <v>42</v>
      </c>
      <c r="G28" s="28" t="s">
        <v>42</v>
      </c>
      <c r="H28" s="29" t="s">
        <v>72</v>
      </c>
      <c r="I28" s="26"/>
      <c r="J28" s="27"/>
    </row>
    <row r="29" customFormat="false" ht="42" hidden="false" customHeight="true" outlineLevel="0" collapsed="false">
      <c r="A29" s="31" t="s">
        <v>125</v>
      </c>
      <c r="B29" s="32" t="s">
        <v>120</v>
      </c>
      <c r="C29" s="33" t="s">
        <v>121</v>
      </c>
      <c r="D29" s="33" t="s">
        <v>126</v>
      </c>
      <c r="E29" s="25" t="s">
        <v>68</v>
      </c>
      <c r="F29" s="28" t="s">
        <v>42</v>
      </c>
      <c r="G29" s="29" t="s">
        <v>40</v>
      </c>
      <c r="H29" s="30" t="s">
        <v>69</v>
      </c>
      <c r="I29" s="32"/>
      <c r="J29" s="33"/>
    </row>
    <row r="30" customFormat="false" ht="42" hidden="false" customHeight="true" outlineLevel="0" collapsed="false">
      <c r="A30" s="25" t="s">
        <v>127</v>
      </c>
      <c r="B30" s="26" t="s">
        <v>120</v>
      </c>
      <c r="C30" s="27" t="s">
        <v>121</v>
      </c>
      <c r="D30" s="27" t="s">
        <v>128</v>
      </c>
      <c r="E30" s="25" t="s">
        <v>68</v>
      </c>
      <c r="F30" s="28" t="s">
        <v>42</v>
      </c>
      <c r="G30" s="29" t="s">
        <v>40</v>
      </c>
      <c r="H30" s="30" t="s">
        <v>69</v>
      </c>
      <c r="I30" s="26"/>
      <c r="J30" s="27"/>
    </row>
    <row r="31" customFormat="false" ht="42" hidden="false" customHeight="true" outlineLevel="0" collapsed="false">
      <c r="A31" s="31" t="s">
        <v>129</v>
      </c>
      <c r="B31" s="32" t="s">
        <v>120</v>
      </c>
      <c r="C31" s="33" t="s">
        <v>130</v>
      </c>
      <c r="D31" s="33" t="s">
        <v>131</v>
      </c>
      <c r="E31" s="25" t="s">
        <v>68</v>
      </c>
      <c r="F31" s="29" t="s">
        <v>40</v>
      </c>
      <c r="G31" s="30" t="s">
        <v>38</v>
      </c>
      <c r="H31" s="30" t="s">
        <v>69</v>
      </c>
      <c r="I31" s="32"/>
      <c r="J31" s="33"/>
    </row>
    <row r="32" customFormat="false" ht="42" hidden="false" customHeight="true" outlineLevel="0" collapsed="false">
      <c r="A32" s="25" t="s">
        <v>132</v>
      </c>
      <c r="B32" s="26" t="s">
        <v>120</v>
      </c>
      <c r="C32" s="27" t="s">
        <v>130</v>
      </c>
      <c r="D32" s="27" t="s">
        <v>133</v>
      </c>
      <c r="E32" s="25" t="s">
        <v>68</v>
      </c>
      <c r="F32" s="29" t="s">
        <v>40</v>
      </c>
      <c r="G32" s="30" t="s">
        <v>38</v>
      </c>
      <c r="H32" s="30" t="s">
        <v>69</v>
      </c>
      <c r="I32" s="26"/>
      <c r="J32" s="27"/>
    </row>
    <row r="33" customFormat="false" ht="42" hidden="false" customHeight="true" outlineLevel="0" collapsed="false">
      <c r="A33" s="31" t="s">
        <v>134</v>
      </c>
      <c r="B33" s="32" t="s">
        <v>120</v>
      </c>
      <c r="C33" s="33" t="s">
        <v>130</v>
      </c>
      <c r="D33" s="33" t="s">
        <v>135</v>
      </c>
      <c r="E33" s="25" t="s">
        <v>68</v>
      </c>
      <c r="F33" s="28" t="s">
        <v>42</v>
      </c>
      <c r="G33" s="30" t="s">
        <v>38</v>
      </c>
      <c r="H33" s="30" t="s">
        <v>69</v>
      </c>
      <c r="I33" s="32"/>
      <c r="J33" s="33"/>
    </row>
    <row r="34" customFormat="false" ht="42" hidden="false" customHeight="true" outlineLevel="0" collapsed="false">
      <c r="A34" s="25" t="s">
        <v>136</v>
      </c>
      <c r="B34" s="26" t="s">
        <v>120</v>
      </c>
      <c r="C34" s="27" t="s">
        <v>130</v>
      </c>
      <c r="D34" s="27" t="s">
        <v>137</v>
      </c>
      <c r="E34" s="25" t="s">
        <v>68</v>
      </c>
      <c r="F34" s="29" t="s">
        <v>40</v>
      </c>
      <c r="G34" s="30" t="s">
        <v>38</v>
      </c>
      <c r="H34" s="30" t="s">
        <v>69</v>
      </c>
      <c r="I34" s="26"/>
      <c r="J34" s="27"/>
    </row>
    <row r="35" customFormat="false" ht="42" hidden="false" customHeight="true" outlineLevel="0" collapsed="false">
      <c r="A35" s="31" t="s">
        <v>138</v>
      </c>
      <c r="B35" s="32" t="s">
        <v>120</v>
      </c>
      <c r="C35" s="33" t="s">
        <v>130</v>
      </c>
      <c r="D35" s="33" t="s">
        <v>139</v>
      </c>
      <c r="E35" s="25" t="s">
        <v>68</v>
      </c>
      <c r="F35" s="29" t="s">
        <v>40</v>
      </c>
      <c r="G35" s="29" t="s">
        <v>40</v>
      </c>
      <c r="H35" s="29" t="s">
        <v>72</v>
      </c>
      <c r="I35" s="32"/>
      <c r="J35" s="33"/>
    </row>
    <row r="36" customFormat="false" ht="42" hidden="false" customHeight="true" outlineLevel="0" collapsed="false">
      <c r="A36" s="25" t="s">
        <v>140</v>
      </c>
      <c r="B36" s="26" t="s">
        <v>120</v>
      </c>
      <c r="C36" s="27" t="s">
        <v>130</v>
      </c>
      <c r="D36" s="27" t="s">
        <v>141</v>
      </c>
      <c r="E36" s="25" t="s">
        <v>68</v>
      </c>
      <c r="F36" s="29" t="s">
        <v>40</v>
      </c>
      <c r="G36" s="29" t="s">
        <v>40</v>
      </c>
      <c r="H36" s="29" t="s">
        <v>72</v>
      </c>
      <c r="I36" s="26"/>
      <c r="J36" s="27"/>
    </row>
    <row r="37" customFormat="false" ht="42" hidden="false" customHeight="true" outlineLevel="0" collapsed="false">
      <c r="A37" s="31" t="s">
        <v>142</v>
      </c>
      <c r="B37" s="32" t="s">
        <v>120</v>
      </c>
      <c r="C37" s="33" t="s">
        <v>143</v>
      </c>
      <c r="D37" s="33" t="s">
        <v>144</v>
      </c>
      <c r="E37" s="25" t="s">
        <v>68</v>
      </c>
      <c r="F37" s="28" t="s">
        <v>42</v>
      </c>
      <c r="G37" s="29" t="s">
        <v>40</v>
      </c>
      <c r="H37" s="30" t="s">
        <v>69</v>
      </c>
      <c r="I37" s="32"/>
      <c r="J37" s="33"/>
    </row>
    <row r="38" customFormat="false" ht="42" hidden="false" customHeight="true" outlineLevel="0" collapsed="false">
      <c r="A38" s="25" t="s">
        <v>145</v>
      </c>
      <c r="B38" s="26" t="s">
        <v>120</v>
      </c>
      <c r="C38" s="27" t="s">
        <v>143</v>
      </c>
      <c r="D38" s="27" t="s">
        <v>146</v>
      </c>
      <c r="E38" s="25" t="s">
        <v>68</v>
      </c>
      <c r="F38" s="28" t="s">
        <v>42</v>
      </c>
      <c r="G38" s="28" t="s">
        <v>42</v>
      </c>
      <c r="H38" s="29" t="s">
        <v>72</v>
      </c>
      <c r="I38" s="26"/>
      <c r="J38" s="27"/>
    </row>
    <row r="39" customFormat="false" ht="42" hidden="false" customHeight="true" outlineLevel="0" collapsed="false">
      <c r="A39" s="31" t="s">
        <v>147</v>
      </c>
      <c r="B39" s="32" t="s">
        <v>120</v>
      </c>
      <c r="C39" s="33" t="s">
        <v>143</v>
      </c>
      <c r="D39" s="33" t="s">
        <v>148</v>
      </c>
      <c r="E39" s="25" t="s">
        <v>68</v>
      </c>
      <c r="F39" s="28" t="s">
        <v>42</v>
      </c>
      <c r="G39" s="28" t="s">
        <v>42</v>
      </c>
      <c r="H39" s="29" t="s">
        <v>72</v>
      </c>
      <c r="I39" s="32"/>
      <c r="J39" s="33"/>
    </row>
    <row r="40" customFormat="false" ht="42" hidden="false" customHeight="true" outlineLevel="0" collapsed="false">
      <c r="A40" s="25" t="s">
        <v>149</v>
      </c>
      <c r="B40" s="26" t="s">
        <v>120</v>
      </c>
      <c r="C40" s="27" t="s">
        <v>143</v>
      </c>
      <c r="D40" s="27" t="s">
        <v>150</v>
      </c>
      <c r="E40" s="25" t="s">
        <v>68</v>
      </c>
      <c r="F40" s="28" t="s">
        <v>42</v>
      </c>
      <c r="G40" s="28" t="s">
        <v>42</v>
      </c>
      <c r="H40" s="29" t="s">
        <v>72</v>
      </c>
      <c r="I40" s="26"/>
      <c r="J40" s="27"/>
    </row>
    <row r="41" customFormat="false" ht="42" hidden="false" customHeight="true" outlineLevel="0" collapsed="false">
      <c r="A41" s="31" t="s">
        <v>151</v>
      </c>
      <c r="B41" s="32" t="s">
        <v>120</v>
      </c>
      <c r="C41" s="33" t="s">
        <v>152</v>
      </c>
      <c r="D41" s="33" t="s">
        <v>153</v>
      </c>
      <c r="E41" s="25" t="s">
        <v>68</v>
      </c>
      <c r="F41" s="29" t="s">
        <v>40</v>
      </c>
      <c r="G41" s="29" t="s">
        <v>40</v>
      </c>
      <c r="H41" s="29" t="s">
        <v>72</v>
      </c>
      <c r="I41" s="32"/>
      <c r="J41" s="33"/>
    </row>
    <row r="42" customFormat="false" ht="42" hidden="false" customHeight="true" outlineLevel="0" collapsed="false">
      <c r="A42" s="25" t="s">
        <v>154</v>
      </c>
      <c r="B42" s="26" t="s">
        <v>120</v>
      </c>
      <c r="C42" s="27" t="s">
        <v>152</v>
      </c>
      <c r="D42" s="27" t="s">
        <v>155</v>
      </c>
      <c r="E42" s="25" t="s">
        <v>68</v>
      </c>
      <c r="F42" s="29" t="s">
        <v>40</v>
      </c>
      <c r="G42" s="29" t="s">
        <v>40</v>
      </c>
      <c r="H42" s="29" t="s">
        <v>72</v>
      </c>
      <c r="I42" s="26"/>
      <c r="J42" s="27"/>
    </row>
    <row r="43" customFormat="false" ht="42" hidden="false" customHeight="true" outlineLevel="0" collapsed="false">
      <c r="A43" s="31" t="s">
        <v>156</v>
      </c>
      <c r="B43" s="32" t="s">
        <v>120</v>
      </c>
      <c r="C43" s="33" t="s">
        <v>152</v>
      </c>
      <c r="D43" s="33" t="s">
        <v>157</v>
      </c>
      <c r="E43" s="25" t="s">
        <v>68</v>
      </c>
      <c r="F43" s="29" t="s">
        <v>40</v>
      </c>
      <c r="G43" s="29" t="s">
        <v>40</v>
      </c>
      <c r="H43" s="29" t="s">
        <v>72</v>
      </c>
      <c r="I43" s="32"/>
      <c r="J43" s="33"/>
    </row>
    <row r="44" customFormat="false" ht="42" hidden="false" customHeight="true" outlineLevel="0" collapsed="false">
      <c r="A44" s="25" t="s">
        <v>158</v>
      </c>
      <c r="B44" s="26" t="s">
        <v>120</v>
      </c>
      <c r="C44" s="27" t="s">
        <v>152</v>
      </c>
      <c r="D44" s="27" t="s">
        <v>159</v>
      </c>
      <c r="E44" s="25" t="s">
        <v>68</v>
      </c>
      <c r="F44" s="30" t="s">
        <v>38</v>
      </c>
      <c r="G44" s="30" t="s">
        <v>38</v>
      </c>
      <c r="H44" s="29" t="s">
        <v>72</v>
      </c>
      <c r="I44" s="26"/>
      <c r="J44" s="27"/>
    </row>
    <row r="45" customFormat="false" ht="42" hidden="false" customHeight="true" outlineLevel="0" collapsed="false">
      <c r="A45" s="31" t="s">
        <v>160</v>
      </c>
      <c r="B45" s="32" t="s">
        <v>120</v>
      </c>
      <c r="C45" s="33" t="s">
        <v>152</v>
      </c>
      <c r="D45" s="33" t="s">
        <v>161</v>
      </c>
      <c r="E45" s="25" t="s">
        <v>68</v>
      </c>
      <c r="F45" s="29" t="s">
        <v>40</v>
      </c>
      <c r="G45" s="29" t="s">
        <v>40</v>
      </c>
      <c r="H45" s="29" t="s">
        <v>72</v>
      </c>
      <c r="I45" s="32"/>
      <c r="J45" s="33"/>
    </row>
    <row r="46" customFormat="false" ht="42" hidden="false" customHeight="true" outlineLevel="0" collapsed="false">
      <c r="A46" s="25" t="s">
        <v>162</v>
      </c>
      <c r="B46" s="26" t="s">
        <v>120</v>
      </c>
      <c r="C46" s="27" t="s">
        <v>163</v>
      </c>
      <c r="D46" s="27" t="s">
        <v>164</v>
      </c>
      <c r="E46" s="25" t="s">
        <v>68</v>
      </c>
      <c r="F46" s="30" t="s">
        <v>38</v>
      </c>
      <c r="G46" s="30" t="s">
        <v>38</v>
      </c>
      <c r="H46" s="29" t="s">
        <v>72</v>
      </c>
      <c r="I46" s="26"/>
      <c r="J46" s="27"/>
    </row>
    <row r="47" customFormat="false" ht="42" hidden="false" customHeight="true" outlineLevel="0" collapsed="false">
      <c r="A47" s="31" t="s">
        <v>165</v>
      </c>
      <c r="B47" s="32" t="s">
        <v>120</v>
      </c>
      <c r="C47" s="33" t="s">
        <v>163</v>
      </c>
      <c r="D47" s="33" t="s">
        <v>166</v>
      </c>
      <c r="E47" s="25" t="s">
        <v>68</v>
      </c>
      <c r="F47" s="28" t="s">
        <v>42</v>
      </c>
      <c r="G47" s="28" t="s">
        <v>42</v>
      </c>
      <c r="H47" s="29" t="s">
        <v>72</v>
      </c>
      <c r="I47" s="32"/>
      <c r="J47" s="33"/>
    </row>
    <row r="48" customFormat="false" ht="42" hidden="false" customHeight="true" outlineLevel="0" collapsed="false">
      <c r="A48" s="25" t="s">
        <v>167</v>
      </c>
      <c r="B48" s="26" t="s">
        <v>120</v>
      </c>
      <c r="C48" s="27" t="s">
        <v>163</v>
      </c>
      <c r="D48" s="27" t="s">
        <v>168</v>
      </c>
      <c r="E48" s="25" t="s">
        <v>68</v>
      </c>
      <c r="F48" s="28" t="s">
        <v>42</v>
      </c>
      <c r="G48" s="28" t="s">
        <v>42</v>
      </c>
      <c r="H48" s="29" t="s">
        <v>72</v>
      </c>
      <c r="I48" s="26"/>
      <c r="J48" s="27"/>
    </row>
    <row r="49" customFormat="false" ht="42" hidden="false" customHeight="true" outlineLevel="0" collapsed="false">
      <c r="A49" s="31" t="s">
        <v>169</v>
      </c>
      <c r="B49" s="32" t="s">
        <v>120</v>
      </c>
      <c r="C49" s="33" t="s">
        <v>163</v>
      </c>
      <c r="D49" s="33" t="s">
        <v>170</v>
      </c>
      <c r="E49" s="25" t="s">
        <v>68</v>
      </c>
      <c r="F49" s="29" t="s">
        <v>40</v>
      </c>
      <c r="G49" s="29" t="s">
        <v>40</v>
      </c>
      <c r="H49" s="29" t="s">
        <v>72</v>
      </c>
      <c r="I49" s="32"/>
      <c r="J49" s="33"/>
    </row>
    <row r="50" customFormat="false" ht="42" hidden="false" customHeight="true" outlineLevel="0" collapsed="false">
      <c r="A50" s="25" t="s">
        <v>171</v>
      </c>
      <c r="B50" s="26" t="s">
        <v>120</v>
      </c>
      <c r="C50" s="27" t="s">
        <v>163</v>
      </c>
      <c r="D50" s="27" t="s">
        <v>172</v>
      </c>
      <c r="E50" s="25" t="s">
        <v>68</v>
      </c>
      <c r="F50" s="29" t="s">
        <v>40</v>
      </c>
      <c r="G50" s="29" t="s">
        <v>40</v>
      </c>
      <c r="H50" s="29" t="s">
        <v>72</v>
      </c>
      <c r="I50" s="26"/>
      <c r="J50" s="27"/>
    </row>
    <row r="51" customFormat="false" ht="18" hidden="false" customHeight="true" outlineLevel="0" collapsed="false">
      <c r="A51" s="24" t="s">
        <v>173</v>
      </c>
      <c r="B51" s="24"/>
      <c r="C51" s="24"/>
      <c r="D51" s="24"/>
      <c r="E51" s="24"/>
      <c r="F51" s="24"/>
      <c r="G51" s="24"/>
      <c r="H51" s="24"/>
      <c r="I51" s="24"/>
      <c r="J51" s="24"/>
    </row>
    <row r="52" customFormat="false" ht="42" hidden="false" customHeight="true" outlineLevel="0" collapsed="false">
      <c r="A52" s="31" t="s">
        <v>174</v>
      </c>
      <c r="B52" s="32" t="s">
        <v>175</v>
      </c>
      <c r="C52" s="33" t="s">
        <v>176</v>
      </c>
      <c r="D52" s="33" t="s">
        <v>177</v>
      </c>
      <c r="E52" s="25" t="s">
        <v>68</v>
      </c>
      <c r="F52" s="28" t="s">
        <v>42</v>
      </c>
      <c r="G52" s="28" t="s">
        <v>42</v>
      </c>
      <c r="H52" s="29" t="s">
        <v>72</v>
      </c>
      <c r="I52" s="32"/>
      <c r="J52" s="33"/>
    </row>
    <row r="53" customFormat="false" ht="42" hidden="false" customHeight="true" outlineLevel="0" collapsed="false">
      <c r="A53" s="31" t="s">
        <v>178</v>
      </c>
      <c r="B53" s="32" t="s">
        <v>175</v>
      </c>
      <c r="C53" s="33" t="s">
        <v>176</v>
      </c>
      <c r="D53" s="33" t="s">
        <v>179</v>
      </c>
      <c r="E53" s="25" t="s">
        <v>68</v>
      </c>
      <c r="F53" s="28" t="s">
        <v>42</v>
      </c>
      <c r="G53" s="28" t="s">
        <v>42</v>
      </c>
      <c r="H53" s="29" t="s">
        <v>72</v>
      </c>
      <c r="I53" s="32"/>
      <c r="J53" s="33"/>
    </row>
    <row r="54" customFormat="false" ht="42" hidden="false" customHeight="true" outlineLevel="0" collapsed="false">
      <c r="A54" s="25" t="s">
        <v>180</v>
      </c>
      <c r="B54" s="26" t="s">
        <v>175</v>
      </c>
      <c r="C54" s="27" t="s">
        <v>176</v>
      </c>
      <c r="D54" s="27" t="s">
        <v>181</v>
      </c>
      <c r="E54" s="25" t="s">
        <v>68</v>
      </c>
      <c r="F54" s="28" t="s">
        <v>42</v>
      </c>
      <c r="G54" s="28" t="s">
        <v>42</v>
      </c>
      <c r="H54" s="29" t="s">
        <v>72</v>
      </c>
      <c r="I54" s="26"/>
      <c r="J54" s="27"/>
    </row>
    <row r="55" customFormat="false" ht="42" hidden="false" customHeight="true" outlineLevel="0" collapsed="false">
      <c r="A55" s="31" t="s">
        <v>182</v>
      </c>
      <c r="B55" s="32" t="s">
        <v>175</v>
      </c>
      <c r="C55" s="33" t="s">
        <v>176</v>
      </c>
      <c r="D55" s="33" t="s">
        <v>183</v>
      </c>
      <c r="E55" s="25" t="s">
        <v>68</v>
      </c>
      <c r="F55" s="28" t="s">
        <v>42</v>
      </c>
      <c r="G55" s="28" t="s">
        <v>42</v>
      </c>
      <c r="H55" s="29" t="s">
        <v>72</v>
      </c>
      <c r="I55" s="32"/>
      <c r="J55" s="33"/>
    </row>
    <row r="56" customFormat="false" ht="42" hidden="false" customHeight="true" outlineLevel="0" collapsed="false">
      <c r="A56" s="25" t="s">
        <v>184</v>
      </c>
      <c r="B56" s="26" t="s">
        <v>175</v>
      </c>
      <c r="C56" s="27" t="s">
        <v>176</v>
      </c>
      <c r="D56" s="27" t="s">
        <v>185</v>
      </c>
      <c r="E56" s="25" t="s">
        <v>68</v>
      </c>
      <c r="F56" s="28" t="s">
        <v>42</v>
      </c>
      <c r="G56" s="28" t="s">
        <v>42</v>
      </c>
      <c r="H56" s="29" t="s">
        <v>72</v>
      </c>
      <c r="I56" s="26"/>
      <c r="J56" s="27"/>
    </row>
    <row r="57" customFormat="false" ht="42" hidden="false" customHeight="true" outlineLevel="0" collapsed="false">
      <c r="A57" s="31" t="s">
        <v>186</v>
      </c>
      <c r="B57" s="32" t="s">
        <v>175</v>
      </c>
      <c r="C57" s="33" t="s">
        <v>187</v>
      </c>
      <c r="D57" s="33" t="s">
        <v>188</v>
      </c>
      <c r="E57" s="25" t="s">
        <v>68</v>
      </c>
      <c r="F57" s="28" t="s">
        <v>42</v>
      </c>
      <c r="G57" s="28" t="s">
        <v>42</v>
      </c>
      <c r="H57" s="29" t="s">
        <v>72</v>
      </c>
      <c r="I57" s="32"/>
      <c r="J57" s="33"/>
    </row>
    <row r="58" customFormat="false" ht="42" hidden="false" customHeight="true" outlineLevel="0" collapsed="false">
      <c r="A58" s="25" t="s">
        <v>189</v>
      </c>
      <c r="B58" s="26" t="s">
        <v>175</v>
      </c>
      <c r="C58" s="27" t="s">
        <v>187</v>
      </c>
      <c r="D58" s="27" t="s">
        <v>190</v>
      </c>
      <c r="E58" s="25" t="s">
        <v>68</v>
      </c>
      <c r="F58" s="28" t="s">
        <v>42</v>
      </c>
      <c r="G58" s="28" t="s">
        <v>42</v>
      </c>
      <c r="H58" s="29" t="s">
        <v>72</v>
      </c>
      <c r="I58" s="26"/>
      <c r="J58" s="27"/>
    </row>
    <row r="59" customFormat="false" ht="42" hidden="false" customHeight="true" outlineLevel="0" collapsed="false">
      <c r="A59" s="31" t="s">
        <v>191</v>
      </c>
      <c r="B59" s="32" t="s">
        <v>175</v>
      </c>
      <c r="C59" s="33" t="s">
        <v>187</v>
      </c>
      <c r="D59" s="33" t="s">
        <v>192</v>
      </c>
      <c r="E59" s="25" t="s">
        <v>68</v>
      </c>
      <c r="F59" s="29" t="s">
        <v>40</v>
      </c>
      <c r="G59" s="29" t="s">
        <v>40</v>
      </c>
      <c r="H59" s="29" t="s">
        <v>72</v>
      </c>
      <c r="I59" s="32"/>
      <c r="J59" s="33"/>
    </row>
    <row r="60" customFormat="false" ht="42" hidden="false" customHeight="true" outlineLevel="0" collapsed="false">
      <c r="A60" s="25" t="s">
        <v>193</v>
      </c>
      <c r="B60" s="26" t="s">
        <v>175</v>
      </c>
      <c r="C60" s="27" t="s">
        <v>187</v>
      </c>
      <c r="D60" s="27" t="s">
        <v>194</v>
      </c>
      <c r="E60" s="25" t="s">
        <v>68</v>
      </c>
      <c r="F60" s="28" t="s">
        <v>42</v>
      </c>
      <c r="G60" s="28" t="s">
        <v>42</v>
      </c>
      <c r="H60" s="29" t="s">
        <v>72</v>
      </c>
      <c r="I60" s="26"/>
      <c r="J60" s="27"/>
    </row>
    <row r="61" customFormat="false" ht="42" hidden="false" customHeight="true" outlineLevel="0" collapsed="false">
      <c r="A61" s="31" t="s">
        <v>195</v>
      </c>
      <c r="B61" s="32" t="s">
        <v>175</v>
      </c>
      <c r="C61" s="33" t="s">
        <v>196</v>
      </c>
      <c r="D61" s="33" t="s">
        <v>197</v>
      </c>
      <c r="E61" s="25" t="s">
        <v>68</v>
      </c>
      <c r="F61" s="29" t="s">
        <v>40</v>
      </c>
      <c r="G61" s="30" t="s">
        <v>38</v>
      </c>
      <c r="H61" s="30" t="s">
        <v>69</v>
      </c>
      <c r="I61" s="32"/>
      <c r="J61" s="33"/>
    </row>
    <row r="62" customFormat="false" ht="42" hidden="false" customHeight="true" outlineLevel="0" collapsed="false">
      <c r="A62" s="25" t="s">
        <v>198</v>
      </c>
      <c r="B62" s="26" t="s">
        <v>175</v>
      </c>
      <c r="C62" s="27" t="s">
        <v>196</v>
      </c>
      <c r="D62" s="27" t="s">
        <v>199</v>
      </c>
      <c r="E62" s="25" t="s">
        <v>68</v>
      </c>
      <c r="F62" s="28" t="s">
        <v>42</v>
      </c>
      <c r="G62" s="30" t="s">
        <v>38</v>
      </c>
      <c r="H62" s="30" t="s">
        <v>69</v>
      </c>
      <c r="I62" s="26"/>
      <c r="J62" s="27"/>
    </row>
    <row r="63" customFormat="false" ht="42" hidden="false" customHeight="true" outlineLevel="0" collapsed="false">
      <c r="A63" s="31" t="s">
        <v>200</v>
      </c>
      <c r="B63" s="32" t="s">
        <v>175</v>
      </c>
      <c r="C63" s="33" t="s">
        <v>196</v>
      </c>
      <c r="D63" s="33" t="s">
        <v>201</v>
      </c>
      <c r="E63" s="25" t="s">
        <v>68</v>
      </c>
      <c r="F63" s="28" t="s">
        <v>42</v>
      </c>
      <c r="G63" s="29" t="s">
        <v>40</v>
      </c>
      <c r="H63" s="30" t="s">
        <v>69</v>
      </c>
      <c r="I63" s="32"/>
      <c r="J63" s="33"/>
    </row>
    <row r="64" customFormat="false" ht="42" hidden="false" customHeight="true" outlineLevel="0" collapsed="false">
      <c r="A64" s="25" t="s">
        <v>202</v>
      </c>
      <c r="B64" s="26" t="s">
        <v>175</v>
      </c>
      <c r="C64" s="27" t="s">
        <v>196</v>
      </c>
      <c r="D64" s="27" t="s">
        <v>203</v>
      </c>
      <c r="E64" s="25" t="s">
        <v>68</v>
      </c>
      <c r="F64" s="28" t="s">
        <v>42</v>
      </c>
      <c r="G64" s="29" t="s">
        <v>40</v>
      </c>
      <c r="H64" s="30" t="s">
        <v>69</v>
      </c>
      <c r="I64" s="26"/>
      <c r="J64" s="27"/>
    </row>
    <row r="65" customFormat="false" ht="42" hidden="false" customHeight="true" outlineLevel="0" collapsed="false">
      <c r="A65" s="31" t="s">
        <v>204</v>
      </c>
      <c r="B65" s="32" t="s">
        <v>175</v>
      </c>
      <c r="C65" s="33" t="s">
        <v>196</v>
      </c>
      <c r="D65" s="33" t="s">
        <v>205</v>
      </c>
      <c r="E65" s="25" t="s">
        <v>68</v>
      </c>
      <c r="F65" s="28" t="s">
        <v>42</v>
      </c>
      <c r="G65" s="29" t="s">
        <v>40</v>
      </c>
      <c r="H65" s="30" t="s">
        <v>69</v>
      </c>
      <c r="I65" s="32"/>
      <c r="J65" s="33"/>
    </row>
    <row r="66" customFormat="false" ht="18" hidden="false" customHeight="true" outlineLevel="0" collapsed="false">
      <c r="A66" s="24" t="s">
        <v>206</v>
      </c>
      <c r="B66" s="24"/>
      <c r="C66" s="24"/>
      <c r="D66" s="24"/>
      <c r="E66" s="24"/>
      <c r="F66" s="24"/>
      <c r="G66" s="24"/>
      <c r="H66" s="24"/>
      <c r="I66" s="24"/>
      <c r="J66" s="24"/>
    </row>
    <row r="67" customFormat="false" ht="42" hidden="false" customHeight="true" outlineLevel="0" collapsed="false">
      <c r="A67" s="25" t="s">
        <v>207</v>
      </c>
      <c r="B67" s="26" t="s">
        <v>208</v>
      </c>
      <c r="C67" s="27" t="s">
        <v>209</v>
      </c>
      <c r="D67" s="27" t="s">
        <v>210</v>
      </c>
      <c r="E67" s="25" t="s">
        <v>68</v>
      </c>
      <c r="F67" s="28" t="s">
        <v>42</v>
      </c>
      <c r="G67" s="28" t="s">
        <v>42</v>
      </c>
      <c r="H67" s="29" t="s">
        <v>72</v>
      </c>
      <c r="I67" s="26"/>
      <c r="J67" s="27"/>
    </row>
    <row r="68" customFormat="false" ht="42" hidden="false" customHeight="true" outlineLevel="0" collapsed="false">
      <c r="A68" s="25" t="s">
        <v>211</v>
      </c>
      <c r="B68" s="26" t="s">
        <v>208</v>
      </c>
      <c r="C68" s="27" t="s">
        <v>209</v>
      </c>
      <c r="D68" s="27" t="s">
        <v>212</v>
      </c>
      <c r="E68" s="25" t="s">
        <v>68</v>
      </c>
      <c r="F68" s="28" t="s">
        <v>42</v>
      </c>
      <c r="G68" s="28" t="s">
        <v>42</v>
      </c>
      <c r="H68" s="29" t="s">
        <v>72</v>
      </c>
      <c r="I68" s="26"/>
      <c r="J68" s="27"/>
    </row>
    <row r="69" customFormat="false" ht="42" hidden="false" customHeight="true" outlineLevel="0" collapsed="false">
      <c r="A69" s="31" t="s">
        <v>213</v>
      </c>
      <c r="B69" s="32" t="s">
        <v>208</v>
      </c>
      <c r="C69" s="33" t="s">
        <v>209</v>
      </c>
      <c r="D69" s="33" t="s">
        <v>214</v>
      </c>
      <c r="E69" s="25" t="s">
        <v>68</v>
      </c>
      <c r="F69" s="28" t="s">
        <v>42</v>
      </c>
      <c r="G69" s="28" t="s">
        <v>42</v>
      </c>
      <c r="H69" s="29" t="s">
        <v>72</v>
      </c>
      <c r="I69" s="32"/>
      <c r="J69" s="33"/>
    </row>
    <row r="70" customFormat="false" ht="42" hidden="false" customHeight="true" outlineLevel="0" collapsed="false">
      <c r="A70" s="25" t="s">
        <v>215</v>
      </c>
      <c r="B70" s="26" t="s">
        <v>208</v>
      </c>
      <c r="C70" s="27" t="s">
        <v>209</v>
      </c>
      <c r="D70" s="27" t="s">
        <v>216</v>
      </c>
      <c r="E70" s="25" t="s">
        <v>68</v>
      </c>
      <c r="F70" s="29" t="s">
        <v>40</v>
      </c>
      <c r="G70" s="29" t="s">
        <v>40</v>
      </c>
      <c r="H70" s="29" t="s">
        <v>72</v>
      </c>
      <c r="I70" s="26"/>
      <c r="J70" s="27"/>
    </row>
    <row r="71" customFormat="false" ht="42" hidden="false" customHeight="true" outlineLevel="0" collapsed="false">
      <c r="A71" s="31" t="s">
        <v>217</v>
      </c>
      <c r="B71" s="32" t="s">
        <v>208</v>
      </c>
      <c r="C71" s="33" t="s">
        <v>218</v>
      </c>
      <c r="D71" s="33" t="s">
        <v>219</v>
      </c>
      <c r="E71" s="29" t="s">
        <v>40</v>
      </c>
      <c r="F71" s="28" t="s">
        <v>42</v>
      </c>
      <c r="G71" s="28" t="s">
        <v>42</v>
      </c>
      <c r="H71" s="29" t="s">
        <v>72</v>
      </c>
      <c r="I71" s="32"/>
      <c r="J71" s="33"/>
    </row>
    <row r="72" customFormat="false" ht="42" hidden="false" customHeight="true" outlineLevel="0" collapsed="false">
      <c r="A72" s="25" t="s">
        <v>220</v>
      </c>
      <c r="B72" s="26" t="s">
        <v>208</v>
      </c>
      <c r="C72" s="27" t="s">
        <v>218</v>
      </c>
      <c r="D72" s="27" t="s">
        <v>221</v>
      </c>
      <c r="E72" s="34" t="s">
        <v>112</v>
      </c>
      <c r="F72" s="35" t="s">
        <v>46</v>
      </c>
      <c r="G72" s="28" t="s">
        <v>42</v>
      </c>
      <c r="H72" s="34" t="s">
        <v>113</v>
      </c>
      <c r="I72" s="26"/>
      <c r="J72" s="27"/>
    </row>
    <row r="73" customFormat="false" ht="42" hidden="false" customHeight="true" outlineLevel="0" collapsed="false">
      <c r="A73" s="31" t="s">
        <v>222</v>
      </c>
      <c r="B73" s="32" t="s">
        <v>208</v>
      </c>
      <c r="C73" s="33" t="s">
        <v>218</v>
      </c>
      <c r="D73" s="33" t="s">
        <v>223</v>
      </c>
      <c r="E73" s="34" t="s">
        <v>112</v>
      </c>
      <c r="F73" s="35" t="s">
        <v>46</v>
      </c>
      <c r="G73" s="28" t="s">
        <v>42</v>
      </c>
      <c r="H73" s="34" t="s">
        <v>113</v>
      </c>
      <c r="I73" s="32"/>
      <c r="J73" s="33"/>
    </row>
    <row r="74" customFormat="false" ht="42" hidden="false" customHeight="true" outlineLevel="0" collapsed="false">
      <c r="A74" s="25" t="s">
        <v>224</v>
      </c>
      <c r="B74" s="26" t="s">
        <v>208</v>
      </c>
      <c r="C74" s="27" t="s">
        <v>225</v>
      </c>
      <c r="D74" s="27" t="s">
        <v>226</v>
      </c>
      <c r="E74" s="29" t="s">
        <v>40</v>
      </c>
      <c r="F74" s="28" t="s">
        <v>42</v>
      </c>
      <c r="G74" s="28" t="s">
        <v>42</v>
      </c>
      <c r="H74" s="29" t="s">
        <v>72</v>
      </c>
      <c r="I74" s="26"/>
      <c r="J74" s="27"/>
    </row>
    <row r="75" customFormat="false" ht="42" hidden="false" customHeight="true" outlineLevel="0" collapsed="false">
      <c r="A75" s="31" t="s">
        <v>227</v>
      </c>
      <c r="B75" s="32" t="s">
        <v>208</v>
      </c>
      <c r="C75" s="33" t="s">
        <v>225</v>
      </c>
      <c r="D75" s="33" t="s">
        <v>228</v>
      </c>
      <c r="E75" s="29" t="s">
        <v>40</v>
      </c>
      <c r="F75" s="28" t="s">
        <v>42</v>
      </c>
      <c r="G75" s="28" t="s">
        <v>42</v>
      </c>
      <c r="H75" s="29" t="s">
        <v>72</v>
      </c>
      <c r="I75" s="32"/>
      <c r="J75" s="33"/>
    </row>
    <row r="76" customFormat="false" ht="42" hidden="false" customHeight="true" outlineLevel="0" collapsed="false">
      <c r="A76" s="25" t="s">
        <v>229</v>
      </c>
      <c r="B76" s="26" t="s">
        <v>208</v>
      </c>
      <c r="C76" s="27" t="s">
        <v>225</v>
      </c>
      <c r="D76" s="27" t="s">
        <v>230</v>
      </c>
      <c r="E76" s="25" t="s">
        <v>68</v>
      </c>
      <c r="F76" s="28" t="s">
        <v>42</v>
      </c>
      <c r="G76" s="28" t="s">
        <v>42</v>
      </c>
      <c r="H76" s="29" t="s">
        <v>72</v>
      </c>
      <c r="I76" s="26"/>
      <c r="J76" s="27"/>
    </row>
    <row r="77" customFormat="false" ht="42" hidden="false" customHeight="true" outlineLevel="0" collapsed="false">
      <c r="A77" s="31" t="s">
        <v>231</v>
      </c>
      <c r="B77" s="32" t="s">
        <v>208</v>
      </c>
      <c r="C77" s="33" t="s">
        <v>225</v>
      </c>
      <c r="D77" s="33" t="s">
        <v>232</v>
      </c>
      <c r="E77" s="25" t="s">
        <v>68</v>
      </c>
      <c r="F77" s="29" t="s">
        <v>40</v>
      </c>
      <c r="G77" s="30" t="s">
        <v>38</v>
      </c>
      <c r="H77" s="30" t="s">
        <v>69</v>
      </c>
      <c r="I77" s="32"/>
      <c r="J77" s="33"/>
    </row>
    <row r="78" customFormat="false" ht="42" hidden="false" customHeight="true" outlineLevel="0" collapsed="false">
      <c r="A78" s="25" t="s">
        <v>233</v>
      </c>
      <c r="B78" s="26" t="s">
        <v>208</v>
      </c>
      <c r="C78" s="27" t="s">
        <v>225</v>
      </c>
      <c r="D78" s="27" t="s">
        <v>234</v>
      </c>
      <c r="E78" s="25" t="s">
        <v>68</v>
      </c>
      <c r="F78" s="29" t="s">
        <v>40</v>
      </c>
      <c r="G78" s="29" t="s">
        <v>40</v>
      </c>
      <c r="H78" s="29" t="s">
        <v>72</v>
      </c>
      <c r="I78" s="26"/>
      <c r="J78" s="27"/>
    </row>
    <row r="79" customFormat="false" ht="42" hidden="false" customHeight="true" outlineLevel="0" collapsed="false">
      <c r="A79" s="31" t="s">
        <v>235</v>
      </c>
      <c r="B79" s="32" t="s">
        <v>208</v>
      </c>
      <c r="C79" s="33" t="s">
        <v>225</v>
      </c>
      <c r="D79" s="33" t="s">
        <v>236</v>
      </c>
      <c r="E79" s="25" t="s">
        <v>68</v>
      </c>
      <c r="F79" s="28" t="s">
        <v>42</v>
      </c>
      <c r="G79" s="28" t="s">
        <v>42</v>
      </c>
      <c r="H79" s="29" t="s">
        <v>72</v>
      </c>
      <c r="I79" s="32"/>
      <c r="J79" s="33"/>
    </row>
    <row r="80" customFormat="false" ht="18" hidden="false" customHeight="true" outlineLevel="0" collapsed="false">
      <c r="A80" s="24" t="s">
        <v>237</v>
      </c>
      <c r="B80" s="24"/>
      <c r="C80" s="24"/>
      <c r="D80" s="24"/>
      <c r="E80" s="24"/>
      <c r="F80" s="24"/>
      <c r="G80" s="24"/>
      <c r="H80" s="24"/>
      <c r="I80" s="24"/>
      <c r="J80" s="24"/>
    </row>
    <row r="81" customFormat="false" ht="42" hidden="false" customHeight="true" outlineLevel="0" collapsed="false">
      <c r="A81" s="25" t="s">
        <v>238</v>
      </c>
      <c r="B81" s="26" t="s">
        <v>239</v>
      </c>
      <c r="C81" s="27" t="s">
        <v>240</v>
      </c>
      <c r="D81" s="27" t="s">
        <v>241</v>
      </c>
      <c r="E81" s="25" t="s">
        <v>68</v>
      </c>
      <c r="F81" s="35" t="s">
        <v>46</v>
      </c>
      <c r="G81" s="35" t="s">
        <v>46</v>
      </c>
      <c r="H81" s="35" t="s">
        <v>46</v>
      </c>
      <c r="I81" s="26"/>
      <c r="J81" s="27"/>
    </row>
    <row r="82" customFormat="false" ht="42" hidden="false" customHeight="true" outlineLevel="0" collapsed="false">
      <c r="A82" s="25" t="s">
        <v>242</v>
      </c>
      <c r="B82" s="26" t="s">
        <v>239</v>
      </c>
      <c r="C82" s="27" t="s">
        <v>240</v>
      </c>
      <c r="D82" s="27" t="s">
        <v>243</v>
      </c>
      <c r="E82" s="25" t="s">
        <v>68</v>
      </c>
      <c r="F82" s="35" t="s">
        <v>46</v>
      </c>
      <c r="G82" s="35" t="s">
        <v>46</v>
      </c>
      <c r="H82" s="35" t="s">
        <v>46</v>
      </c>
      <c r="I82" s="26"/>
      <c r="J82" s="27"/>
    </row>
    <row r="83" customFormat="false" ht="42" hidden="false" customHeight="true" outlineLevel="0" collapsed="false">
      <c r="A83" s="31" t="s">
        <v>244</v>
      </c>
      <c r="B83" s="32" t="s">
        <v>239</v>
      </c>
      <c r="C83" s="33" t="s">
        <v>240</v>
      </c>
      <c r="D83" s="33" t="s">
        <v>245</v>
      </c>
      <c r="E83" s="25" t="s">
        <v>68</v>
      </c>
      <c r="F83" s="35" t="s">
        <v>46</v>
      </c>
      <c r="G83" s="35" t="s">
        <v>46</v>
      </c>
      <c r="H83" s="35" t="s">
        <v>46</v>
      </c>
      <c r="I83" s="32"/>
      <c r="J83" s="33"/>
    </row>
    <row r="84" customFormat="false" ht="42" hidden="false" customHeight="true" outlineLevel="0" collapsed="false">
      <c r="A84" s="25" t="s">
        <v>246</v>
      </c>
      <c r="B84" s="26" t="s">
        <v>239</v>
      </c>
      <c r="C84" s="27" t="s">
        <v>240</v>
      </c>
      <c r="D84" s="27" t="s">
        <v>247</v>
      </c>
      <c r="E84" s="25" t="s">
        <v>68</v>
      </c>
      <c r="F84" s="35" t="s">
        <v>46</v>
      </c>
      <c r="G84" s="35" t="s">
        <v>46</v>
      </c>
      <c r="H84" s="35" t="s">
        <v>46</v>
      </c>
      <c r="I84" s="26"/>
      <c r="J84" s="27"/>
    </row>
    <row r="85" customFormat="false" ht="18" hidden="false" customHeight="true" outlineLevel="0" collapsed="false">
      <c r="A85" s="24" t="s">
        <v>118</v>
      </c>
      <c r="B85" s="24"/>
      <c r="C85" s="24"/>
      <c r="D85" s="24"/>
      <c r="E85" s="24"/>
      <c r="F85" s="24"/>
      <c r="G85" s="24"/>
      <c r="H85" s="24"/>
      <c r="I85" s="24"/>
      <c r="J85" s="24"/>
    </row>
    <row r="86" customFormat="false" ht="42" hidden="false" customHeight="true" outlineLevel="0" collapsed="false">
      <c r="A86" s="31" t="s">
        <v>248</v>
      </c>
      <c r="B86" s="32" t="s">
        <v>120</v>
      </c>
      <c r="C86" s="33" t="s">
        <v>249</v>
      </c>
      <c r="D86" s="33" t="s">
        <v>250</v>
      </c>
      <c r="E86" s="25" t="s">
        <v>68</v>
      </c>
      <c r="F86" s="28" t="s">
        <v>42</v>
      </c>
      <c r="G86" s="28" t="s">
        <v>42</v>
      </c>
      <c r="H86" s="29" t="s">
        <v>72</v>
      </c>
      <c r="I86" s="32"/>
      <c r="J86" s="33"/>
    </row>
    <row r="87" customFormat="false" ht="42" hidden="false" customHeight="true" outlineLevel="0" collapsed="false">
      <c r="A87" s="31" t="s">
        <v>251</v>
      </c>
      <c r="B87" s="32" t="s">
        <v>120</v>
      </c>
      <c r="C87" s="33" t="s">
        <v>249</v>
      </c>
      <c r="D87" s="33" t="s">
        <v>252</v>
      </c>
      <c r="E87" s="25" t="s">
        <v>68</v>
      </c>
      <c r="F87" s="28" t="s">
        <v>42</v>
      </c>
      <c r="G87" s="28" t="s">
        <v>42</v>
      </c>
      <c r="H87" s="29" t="s">
        <v>72</v>
      </c>
      <c r="I87" s="32"/>
      <c r="J87" s="33"/>
    </row>
    <row r="88" customFormat="false" ht="42" hidden="false" customHeight="true" outlineLevel="0" collapsed="false">
      <c r="A88" s="25" t="s">
        <v>253</v>
      </c>
      <c r="B88" s="26" t="s">
        <v>120</v>
      </c>
      <c r="C88" s="27" t="s">
        <v>249</v>
      </c>
      <c r="D88" s="27" t="s">
        <v>254</v>
      </c>
      <c r="E88" s="25" t="s">
        <v>68</v>
      </c>
      <c r="F88" s="28" t="s">
        <v>42</v>
      </c>
      <c r="G88" s="28" t="s">
        <v>42</v>
      </c>
      <c r="H88" s="29" t="s">
        <v>72</v>
      </c>
      <c r="I88" s="26"/>
      <c r="J88" s="27"/>
    </row>
    <row r="89" customFormat="false" ht="42" hidden="false" customHeight="true" outlineLevel="0" collapsed="false">
      <c r="A89" s="31" t="s">
        <v>255</v>
      </c>
      <c r="B89" s="32" t="s">
        <v>120</v>
      </c>
      <c r="C89" s="33" t="s">
        <v>249</v>
      </c>
      <c r="D89" s="33" t="s">
        <v>256</v>
      </c>
      <c r="E89" s="25" t="s">
        <v>68</v>
      </c>
      <c r="F89" s="28" t="s">
        <v>42</v>
      </c>
      <c r="G89" s="28" t="s">
        <v>42</v>
      </c>
      <c r="H89" s="29" t="s">
        <v>72</v>
      </c>
      <c r="I89" s="32"/>
      <c r="J89" s="33"/>
    </row>
    <row r="90" customFormat="false" ht="42" hidden="false" customHeight="true" outlineLevel="0" collapsed="false">
      <c r="A90" s="25" t="s">
        <v>257</v>
      </c>
      <c r="B90" s="26" t="s">
        <v>120</v>
      </c>
      <c r="C90" s="27" t="s">
        <v>258</v>
      </c>
      <c r="D90" s="27" t="s">
        <v>259</v>
      </c>
      <c r="E90" s="25" t="s">
        <v>68</v>
      </c>
      <c r="F90" s="28" t="s">
        <v>42</v>
      </c>
      <c r="G90" s="28" t="s">
        <v>42</v>
      </c>
      <c r="H90" s="29" t="s">
        <v>72</v>
      </c>
      <c r="I90" s="26"/>
      <c r="J90" s="27"/>
    </row>
    <row r="91" customFormat="false" ht="42" hidden="false" customHeight="true" outlineLevel="0" collapsed="false">
      <c r="A91" s="31" t="s">
        <v>260</v>
      </c>
      <c r="B91" s="32" t="s">
        <v>120</v>
      </c>
      <c r="C91" s="33" t="s">
        <v>258</v>
      </c>
      <c r="D91" s="33" t="s">
        <v>261</v>
      </c>
      <c r="E91" s="25" t="s">
        <v>68</v>
      </c>
      <c r="F91" s="29" t="s">
        <v>40</v>
      </c>
      <c r="G91" s="29" t="s">
        <v>40</v>
      </c>
      <c r="H91" s="29" t="s">
        <v>72</v>
      </c>
      <c r="I91" s="32"/>
      <c r="J91" s="33"/>
    </row>
    <row r="92" customFormat="false" ht="42" hidden="false" customHeight="true" outlineLevel="0" collapsed="false">
      <c r="A92" s="25" t="s">
        <v>262</v>
      </c>
      <c r="B92" s="26" t="s">
        <v>120</v>
      </c>
      <c r="C92" s="27" t="s">
        <v>258</v>
      </c>
      <c r="D92" s="27" t="s">
        <v>263</v>
      </c>
      <c r="E92" s="25" t="s">
        <v>68</v>
      </c>
      <c r="F92" s="28" t="s">
        <v>42</v>
      </c>
      <c r="G92" s="28" t="s">
        <v>42</v>
      </c>
      <c r="H92" s="29" t="s">
        <v>72</v>
      </c>
      <c r="I92" s="26"/>
      <c r="J92" s="27"/>
    </row>
    <row r="93" customFormat="false" ht="42" hidden="false" customHeight="true" outlineLevel="0" collapsed="false">
      <c r="A93" s="31" t="s">
        <v>264</v>
      </c>
      <c r="B93" s="32" t="s">
        <v>120</v>
      </c>
      <c r="C93" s="33" t="s">
        <v>258</v>
      </c>
      <c r="D93" s="33" t="s">
        <v>265</v>
      </c>
      <c r="E93" s="25" t="s">
        <v>68</v>
      </c>
      <c r="F93" s="28" t="s">
        <v>42</v>
      </c>
      <c r="G93" s="28" t="s">
        <v>42</v>
      </c>
      <c r="H93" s="29" t="s">
        <v>72</v>
      </c>
      <c r="I93" s="32"/>
      <c r="J93" s="33"/>
    </row>
    <row r="94" customFormat="false" ht="42" hidden="false" customHeight="true" outlineLevel="0" collapsed="false">
      <c r="A94" s="25" t="s">
        <v>266</v>
      </c>
      <c r="B94" s="26" t="s">
        <v>120</v>
      </c>
      <c r="C94" s="27" t="s">
        <v>267</v>
      </c>
      <c r="D94" s="27" t="s">
        <v>268</v>
      </c>
      <c r="E94" s="25" t="s">
        <v>68</v>
      </c>
      <c r="F94" s="29" t="s">
        <v>40</v>
      </c>
      <c r="G94" s="29" t="s">
        <v>40</v>
      </c>
      <c r="H94" s="29" t="s">
        <v>72</v>
      </c>
      <c r="I94" s="26"/>
      <c r="J94" s="27"/>
    </row>
    <row r="95" customFormat="false" ht="42" hidden="false" customHeight="true" outlineLevel="0" collapsed="false">
      <c r="A95" s="31" t="s">
        <v>269</v>
      </c>
      <c r="B95" s="32" t="s">
        <v>120</v>
      </c>
      <c r="C95" s="33" t="s">
        <v>267</v>
      </c>
      <c r="D95" s="33" t="s">
        <v>270</v>
      </c>
      <c r="E95" s="25" t="s">
        <v>68</v>
      </c>
      <c r="F95" s="29" t="s">
        <v>40</v>
      </c>
      <c r="G95" s="29" t="s">
        <v>40</v>
      </c>
      <c r="H95" s="29" t="s">
        <v>72</v>
      </c>
      <c r="I95" s="32"/>
      <c r="J95" s="33"/>
    </row>
    <row r="96" customFormat="false" ht="42" hidden="false" customHeight="true" outlineLevel="0" collapsed="false">
      <c r="A96" s="25" t="s">
        <v>271</v>
      </c>
      <c r="B96" s="26" t="s">
        <v>120</v>
      </c>
      <c r="C96" s="27" t="s">
        <v>267</v>
      </c>
      <c r="D96" s="27" t="s">
        <v>272</v>
      </c>
      <c r="E96" s="25" t="s">
        <v>68</v>
      </c>
      <c r="F96" s="28" t="s">
        <v>42</v>
      </c>
      <c r="G96" s="28" t="s">
        <v>42</v>
      </c>
      <c r="H96" s="29" t="s">
        <v>72</v>
      </c>
      <c r="I96" s="26"/>
      <c r="J96" s="27"/>
    </row>
    <row r="97" customFormat="false" ht="42" hidden="false" customHeight="true" outlineLevel="0" collapsed="false">
      <c r="A97" s="31" t="s">
        <v>273</v>
      </c>
      <c r="B97" s="32" t="s">
        <v>120</v>
      </c>
      <c r="C97" s="33" t="s">
        <v>274</v>
      </c>
      <c r="D97" s="33" t="s">
        <v>275</v>
      </c>
      <c r="E97" s="25" t="s">
        <v>68</v>
      </c>
      <c r="F97" s="30" t="s">
        <v>38</v>
      </c>
      <c r="G97" s="30" t="s">
        <v>38</v>
      </c>
      <c r="H97" s="29" t="s">
        <v>72</v>
      </c>
      <c r="I97" s="32"/>
      <c r="J97" s="33"/>
    </row>
    <row r="98" customFormat="false" ht="42" hidden="false" customHeight="true" outlineLevel="0" collapsed="false">
      <c r="A98" s="25" t="s">
        <v>276</v>
      </c>
      <c r="B98" s="26" t="s">
        <v>120</v>
      </c>
      <c r="C98" s="27" t="s">
        <v>274</v>
      </c>
      <c r="D98" s="27" t="s">
        <v>277</v>
      </c>
      <c r="E98" s="25" t="s">
        <v>68</v>
      </c>
      <c r="F98" s="30" t="s">
        <v>38</v>
      </c>
      <c r="G98" s="30" t="s">
        <v>38</v>
      </c>
      <c r="H98" s="29" t="s">
        <v>72</v>
      </c>
      <c r="I98" s="26"/>
      <c r="J98" s="27"/>
    </row>
    <row r="99" customFormat="false" ht="42" hidden="false" customHeight="true" outlineLevel="0" collapsed="false">
      <c r="A99" s="31" t="s">
        <v>278</v>
      </c>
      <c r="B99" s="32" t="s">
        <v>120</v>
      </c>
      <c r="C99" s="33" t="s">
        <v>274</v>
      </c>
      <c r="D99" s="33" t="s">
        <v>279</v>
      </c>
      <c r="E99" s="25" t="s">
        <v>68</v>
      </c>
      <c r="F99" s="30" t="s">
        <v>38</v>
      </c>
      <c r="G99" s="30" t="s">
        <v>38</v>
      </c>
      <c r="H99" s="29" t="s">
        <v>72</v>
      </c>
      <c r="I99" s="32"/>
      <c r="J99" s="33"/>
    </row>
    <row r="100" customFormat="false" ht="18" hidden="false" customHeight="true" outlineLevel="0" collapsed="false">
      <c r="A100" s="24" t="s">
        <v>173</v>
      </c>
      <c r="B100" s="24"/>
      <c r="C100" s="24"/>
      <c r="D100" s="24"/>
      <c r="E100" s="24"/>
      <c r="F100" s="24"/>
      <c r="G100" s="24"/>
      <c r="H100" s="24"/>
      <c r="I100" s="24"/>
      <c r="J100" s="24"/>
    </row>
    <row r="101" customFormat="false" ht="42" hidden="false" customHeight="true" outlineLevel="0" collapsed="false">
      <c r="A101" s="25" t="s">
        <v>280</v>
      </c>
      <c r="B101" s="26" t="s">
        <v>175</v>
      </c>
      <c r="C101" s="27" t="s">
        <v>281</v>
      </c>
      <c r="D101" s="27" t="s">
        <v>282</v>
      </c>
      <c r="E101" s="34" t="s">
        <v>112</v>
      </c>
      <c r="F101" s="35" t="s">
        <v>46</v>
      </c>
      <c r="G101" s="28" t="s">
        <v>42</v>
      </c>
      <c r="H101" s="34" t="s">
        <v>113</v>
      </c>
      <c r="I101" s="26"/>
      <c r="J101" s="27"/>
    </row>
    <row r="102" customFormat="false" ht="42" hidden="false" customHeight="true" outlineLevel="0" collapsed="false">
      <c r="A102" s="25" t="s">
        <v>283</v>
      </c>
      <c r="B102" s="26" t="s">
        <v>175</v>
      </c>
      <c r="C102" s="27" t="s">
        <v>281</v>
      </c>
      <c r="D102" s="27" t="s">
        <v>284</v>
      </c>
      <c r="E102" s="34" t="s">
        <v>112</v>
      </c>
      <c r="F102" s="35" t="s">
        <v>46</v>
      </c>
      <c r="G102" s="28" t="s">
        <v>42</v>
      </c>
      <c r="H102" s="34" t="s">
        <v>113</v>
      </c>
      <c r="I102" s="26"/>
      <c r="J102" s="27"/>
    </row>
    <row r="103" customFormat="false" ht="18" hidden="false" customHeight="true" outlineLevel="0" collapsed="false">
      <c r="A103" s="24" t="s">
        <v>63</v>
      </c>
      <c r="B103" s="24"/>
      <c r="C103" s="24"/>
      <c r="D103" s="24"/>
      <c r="E103" s="24"/>
      <c r="F103" s="24"/>
      <c r="G103" s="24"/>
      <c r="H103" s="24"/>
      <c r="I103" s="24"/>
      <c r="J103" s="24"/>
    </row>
    <row r="104" customFormat="false" ht="42" hidden="false" customHeight="true" outlineLevel="0" collapsed="false">
      <c r="A104" s="31" t="s">
        <v>285</v>
      </c>
      <c r="B104" s="32" t="s">
        <v>65</v>
      </c>
      <c r="C104" s="33" t="s">
        <v>286</v>
      </c>
      <c r="D104" s="33" t="s">
        <v>287</v>
      </c>
      <c r="E104" s="34" t="s">
        <v>112</v>
      </c>
      <c r="F104" s="35" t="s">
        <v>46</v>
      </c>
      <c r="G104" s="28" t="s">
        <v>42</v>
      </c>
      <c r="H104" s="34" t="s">
        <v>113</v>
      </c>
      <c r="I104" s="32"/>
      <c r="J104" s="33"/>
    </row>
    <row r="105" customFormat="false" ht="42" hidden="false" customHeight="true" outlineLevel="0" collapsed="false">
      <c r="A105" s="31" t="s">
        <v>288</v>
      </c>
      <c r="B105" s="32" t="s">
        <v>65</v>
      </c>
      <c r="C105" s="33" t="s">
        <v>286</v>
      </c>
      <c r="D105" s="33" t="s">
        <v>289</v>
      </c>
      <c r="E105" s="34" t="s">
        <v>112</v>
      </c>
      <c r="F105" s="35" t="s">
        <v>46</v>
      </c>
      <c r="G105" s="28" t="s">
        <v>42</v>
      </c>
      <c r="H105" s="34" t="s">
        <v>113</v>
      </c>
      <c r="I105" s="32"/>
      <c r="J105" s="33"/>
    </row>
    <row r="106" customFormat="false" ht="42" hidden="false" customHeight="true" outlineLevel="0" collapsed="false">
      <c r="A106" s="25" t="s">
        <v>290</v>
      </c>
      <c r="B106" s="26" t="s">
        <v>65</v>
      </c>
      <c r="C106" s="27" t="s">
        <v>286</v>
      </c>
      <c r="D106" s="27" t="s">
        <v>291</v>
      </c>
      <c r="E106" s="34" t="s">
        <v>112</v>
      </c>
      <c r="F106" s="35" t="s">
        <v>46</v>
      </c>
      <c r="G106" s="28" t="s">
        <v>42</v>
      </c>
      <c r="H106" s="34" t="s">
        <v>113</v>
      </c>
      <c r="I106" s="26"/>
      <c r="J106" s="27"/>
    </row>
    <row r="107" customFormat="false" ht="18" hidden="false" customHeight="true" outlineLevel="0" collapsed="false">
      <c r="A107" s="24" t="s">
        <v>118</v>
      </c>
      <c r="B107" s="24"/>
      <c r="C107" s="24"/>
      <c r="D107" s="24"/>
      <c r="E107" s="24"/>
      <c r="F107" s="24"/>
      <c r="G107" s="24"/>
      <c r="H107" s="24"/>
      <c r="I107" s="24"/>
      <c r="J107" s="24"/>
    </row>
    <row r="108" customFormat="false" ht="42" hidden="false" customHeight="true" outlineLevel="0" collapsed="false">
      <c r="A108" s="31" t="s">
        <v>292</v>
      </c>
      <c r="B108" s="32" t="s">
        <v>120</v>
      </c>
      <c r="C108" s="33" t="s">
        <v>152</v>
      </c>
      <c r="D108" s="33" t="s">
        <v>293</v>
      </c>
      <c r="E108" s="25" t="s">
        <v>68</v>
      </c>
      <c r="F108" s="28" t="s">
        <v>42</v>
      </c>
      <c r="G108" s="28" t="s">
        <v>42</v>
      </c>
      <c r="H108" s="29" t="s">
        <v>72</v>
      </c>
      <c r="I108" s="32"/>
      <c r="J108" s="33"/>
    </row>
    <row r="109" customFormat="false" ht="42" hidden="false" customHeight="true" outlineLevel="0" collapsed="false">
      <c r="A109" s="31" t="s">
        <v>294</v>
      </c>
      <c r="B109" s="32" t="s">
        <v>120</v>
      </c>
      <c r="C109" s="33" t="s">
        <v>152</v>
      </c>
      <c r="D109" s="33" t="s">
        <v>295</v>
      </c>
      <c r="E109" s="25" t="s">
        <v>68</v>
      </c>
      <c r="F109" s="28" t="s">
        <v>42</v>
      </c>
      <c r="G109" s="28" t="s">
        <v>42</v>
      </c>
      <c r="H109" s="29" t="s">
        <v>72</v>
      </c>
      <c r="I109" s="32"/>
      <c r="J109" s="33"/>
    </row>
    <row r="110" customFormat="false" ht="42" hidden="false" customHeight="true" outlineLevel="0" collapsed="false">
      <c r="A110" s="25" t="s">
        <v>296</v>
      </c>
      <c r="B110" s="26" t="s">
        <v>120</v>
      </c>
      <c r="C110" s="27" t="s">
        <v>130</v>
      </c>
      <c r="D110" s="27" t="s">
        <v>297</v>
      </c>
      <c r="E110" s="25" t="s">
        <v>68</v>
      </c>
      <c r="F110" s="28" t="s">
        <v>42</v>
      </c>
      <c r="G110" s="29" t="s">
        <v>40</v>
      </c>
      <c r="H110" s="30" t="s">
        <v>69</v>
      </c>
      <c r="I110" s="26"/>
      <c r="J110" s="27"/>
    </row>
    <row r="111" customFormat="false" ht="42" hidden="false" customHeight="true" outlineLevel="0" collapsed="false">
      <c r="A111" s="31" t="s">
        <v>298</v>
      </c>
      <c r="B111" s="32" t="s">
        <v>120</v>
      </c>
      <c r="C111" s="33" t="s">
        <v>130</v>
      </c>
      <c r="D111" s="33" t="s">
        <v>299</v>
      </c>
      <c r="E111" s="25" t="s">
        <v>68</v>
      </c>
      <c r="F111" s="29" t="s">
        <v>40</v>
      </c>
      <c r="G111" s="29" t="s">
        <v>40</v>
      </c>
      <c r="H111" s="29" t="s">
        <v>72</v>
      </c>
      <c r="I111" s="32"/>
      <c r="J111" s="33"/>
    </row>
    <row r="112" customFormat="false" ht="18" hidden="false" customHeight="true" outlineLevel="0" collapsed="false">
      <c r="A112" s="24" t="s">
        <v>173</v>
      </c>
      <c r="B112" s="24"/>
      <c r="C112" s="24"/>
      <c r="D112" s="24"/>
      <c r="E112" s="24"/>
      <c r="F112" s="24"/>
      <c r="G112" s="24"/>
      <c r="H112" s="24"/>
      <c r="I112" s="24"/>
      <c r="J112" s="24"/>
    </row>
    <row r="113" customFormat="false" ht="42" hidden="false" customHeight="true" outlineLevel="0" collapsed="false">
      <c r="A113" s="25" t="s">
        <v>300</v>
      </c>
      <c r="B113" s="26" t="s">
        <v>175</v>
      </c>
      <c r="C113" s="27" t="s">
        <v>176</v>
      </c>
      <c r="D113" s="27" t="s">
        <v>301</v>
      </c>
      <c r="E113" s="25" t="s">
        <v>68</v>
      </c>
      <c r="F113" s="28" t="s">
        <v>42</v>
      </c>
      <c r="G113" s="28" t="s">
        <v>42</v>
      </c>
      <c r="H113" s="29" t="s">
        <v>72</v>
      </c>
      <c r="I113" s="26"/>
      <c r="J113" s="27"/>
    </row>
    <row r="114" customFormat="false" ht="18" hidden="false" customHeight="true" outlineLevel="0" collapsed="false">
      <c r="A114" s="24" t="s">
        <v>63</v>
      </c>
      <c r="B114" s="24"/>
      <c r="C114" s="24"/>
      <c r="D114" s="24"/>
      <c r="E114" s="24"/>
      <c r="F114" s="24"/>
      <c r="G114" s="24"/>
      <c r="H114" s="24"/>
      <c r="I114" s="24"/>
      <c r="J114" s="24"/>
    </row>
    <row r="115" customFormat="false" ht="42" hidden="false" customHeight="true" outlineLevel="0" collapsed="false">
      <c r="A115" s="25" t="s">
        <v>302</v>
      </c>
      <c r="B115" s="26" t="s">
        <v>65</v>
      </c>
      <c r="C115" s="27" t="s">
        <v>103</v>
      </c>
      <c r="D115" s="27" t="s">
        <v>303</v>
      </c>
      <c r="E115" s="25" t="s">
        <v>68</v>
      </c>
      <c r="F115" s="29" t="s">
        <v>40</v>
      </c>
      <c r="G115" s="29" t="s">
        <v>40</v>
      </c>
      <c r="H115" s="29" t="s">
        <v>72</v>
      </c>
      <c r="I115" s="26"/>
      <c r="J115" s="27"/>
    </row>
    <row r="116" customFormat="false" ht="18" hidden="false" customHeight="true" outlineLevel="0" collapsed="false">
      <c r="A116" s="24" t="s">
        <v>206</v>
      </c>
      <c r="B116" s="24"/>
      <c r="C116" s="24"/>
      <c r="D116" s="24"/>
      <c r="E116" s="24"/>
      <c r="F116" s="24"/>
      <c r="G116" s="24"/>
      <c r="H116" s="24"/>
      <c r="I116" s="24"/>
      <c r="J116" s="24"/>
    </row>
    <row r="117" customFormat="false" ht="42" hidden="false" customHeight="true" outlineLevel="0" collapsed="false">
      <c r="A117" s="25" t="s">
        <v>304</v>
      </c>
      <c r="B117" s="26" t="s">
        <v>208</v>
      </c>
      <c r="C117" s="27" t="s">
        <v>209</v>
      </c>
      <c r="D117" s="27" t="s">
        <v>305</v>
      </c>
      <c r="E117" s="25" t="s">
        <v>68</v>
      </c>
      <c r="F117" s="28" t="s">
        <v>42</v>
      </c>
      <c r="G117" s="28" t="s">
        <v>42</v>
      </c>
      <c r="H117" s="29" t="s">
        <v>72</v>
      </c>
      <c r="I117" s="26"/>
      <c r="J117" s="27"/>
    </row>
    <row r="118" customFormat="false" ht="18" hidden="false" customHeight="true" outlineLevel="0" collapsed="false">
      <c r="A118" s="24" t="s">
        <v>118</v>
      </c>
      <c r="B118" s="24"/>
      <c r="C118" s="24"/>
      <c r="D118" s="24"/>
      <c r="E118" s="24"/>
      <c r="F118" s="24"/>
      <c r="G118" s="24"/>
      <c r="H118" s="24"/>
      <c r="I118" s="24"/>
      <c r="J118" s="24"/>
    </row>
    <row r="119" customFormat="false" ht="42" hidden="false" customHeight="true" outlineLevel="0" collapsed="false">
      <c r="A119" s="25" t="s">
        <v>306</v>
      </c>
      <c r="B119" s="26" t="s">
        <v>120</v>
      </c>
      <c r="C119" s="27" t="s">
        <v>307</v>
      </c>
      <c r="D119" s="27" t="s">
        <v>308</v>
      </c>
      <c r="E119" s="25" t="s">
        <v>68</v>
      </c>
      <c r="F119" s="28" t="s">
        <v>42</v>
      </c>
      <c r="G119" s="28" t="s">
        <v>42</v>
      </c>
      <c r="H119" s="29" t="s">
        <v>72</v>
      </c>
      <c r="I119" s="26"/>
      <c r="J119" s="27"/>
    </row>
    <row r="120" customFormat="false" ht="42" hidden="false" customHeight="true" outlineLevel="0" collapsed="false">
      <c r="A120" s="25" t="s">
        <v>309</v>
      </c>
      <c r="B120" s="26" t="s">
        <v>120</v>
      </c>
      <c r="C120" s="27" t="s">
        <v>307</v>
      </c>
      <c r="D120" s="27" t="s">
        <v>310</v>
      </c>
      <c r="E120" s="25" t="s">
        <v>68</v>
      </c>
      <c r="F120" s="28" t="s">
        <v>42</v>
      </c>
      <c r="G120" s="28" t="s">
        <v>42</v>
      </c>
      <c r="H120" s="29" t="s">
        <v>72</v>
      </c>
      <c r="I120" s="26"/>
      <c r="J120" s="27"/>
    </row>
    <row r="121" customFormat="false" ht="18" hidden="false" customHeight="true" outlineLevel="0" collapsed="false">
      <c r="A121" s="24" t="s">
        <v>63</v>
      </c>
      <c r="B121" s="24"/>
      <c r="C121" s="24"/>
      <c r="D121" s="24"/>
      <c r="E121" s="24"/>
      <c r="F121" s="24"/>
      <c r="G121" s="24"/>
      <c r="H121" s="24"/>
      <c r="I121" s="24"/>
      <c r="J121" s="24"/>
    </row>
    <row r="122" customFormat="false" ht="42" hidden="false" customHeight="true" outlineLevel="0" collapsed="false">
      <c r="A122" s="31" t="s">
        <v>311</v>
      </c>
      <c r="B122" s="32" t="s">
        <v>65</v>
      </c>
      <c r="C122" s="33" t="s">
        <v>87</v>
      </c>
      <c r="D122" s="33" t="s">
        <v>312</v>
      </c>
      <c r="E122" s="25" t="s">
        <v>68</v>
      </c>
      <c r="F122" s="28" t="s">
        <v>42</v>
      </c>
      <c r="G122" s="29" t="s">
        <v>40</v>
      </c>
      <c r="H122" s="30" t="s">
        <v>69</v>
      </c>
      <c r="I122" s="32"/>
      <c r="J122" s="33"/>
    </row>
    <row r="123" customFormat="false" ht="18" hidden="false" customHeight="true" outlineLevel="0" collapsed="false">
      <c r="A123" s="24" t="s">
        <v>118</v>
      </c>
      <c r="B123" s="24"/>
      <c r="C123" s="24"/>
      <c r="D123" s="24"/>
      <c r="E123" s="24"/>
      <c r="F123" s="24"/>
      <c r="G123" s="24"/>
      <c r="H123" s="24"/>
      <c r="I123" s="24"/>
      <c r="J123" s="24"/>
    </row>
    <row r="124" customFormat="false" ht="42" hidden="false" customHeight="true" outlineLevel="0" collapsed="false">
      <c r="A124" s="31" t="s">
        <v>313</v>
      </c>
      <c r="B124" s="32" t="s">
        <v>120</v>
      </c>
      <c r="C124" s="33" t="s">
        <v>121</v>
      </c>
      <c r="D124" s="33" t="s">
        <v>314</v>
      </c>
      <c r="E124" s="25" t="s">
        <v>68</v>
      </c>
      <c r="F124" s="28" t="s">
        <v>42</v>
      </c>
      <c r="G124" s="28" t="s">
        <v>42</v>
      </c>
      <c r="H124" s="29" t="s">
        <v>72</v>
      </c>
      <c r="I124" s="32"/>
      <c r="J124" s="33"/>
    </row>
    <row r="125" customFormat="false" ht="18" hidden="false" customHeight="true" outlineLevel="0" collapsed="false">
      <c r="A125" s="24" t="s">
        <v>173</v>
      </c>
      <c r="B125" s="24"/>
      <c r="C125" s="24"/>
      <c r="D125" s="24"/>
      <c r="E125" s="24"/>
      <c r="F125" s="24"/>
      <c r="G125" s="24"/>
      <c r="H125" s="24"/>
      <c r="I125" s="24"/>
      <c r="J125" s="24"/>
    </row>
    <row r="126" customFormat="false" ht="42" hidden="false" customHeight="true" outlineLevel="0" collapsed="false">
      <c r="A126" s="31" t="s">
        <v>315</v>
      </c>
      <c r="B126" s="32" t="s">
        <v>175</v>
      </c>
      <c r="C126" s="33" t="s">
        <v>187</v>
      </c>
      <c r="D126" s="33" t="s">
        <v>316</v>
      </c>
      <c r="E126" s="25" t="s">
        <v>68</v>
      </c>
      <c r="F126" s="28" t="s">
        <v>42</v>
      </c>
      <c r="G126" s="28" t="s">
        <v>42</v>
      </c>
      <c r="H126" s="29" t="s">
        <v>72</v>
      </c>
      <c r="I126" s="32"/>
      <c r="J126" s="33"/>
    </row>
    <row r="127" customFormat="false" ht="18" hidden="false" customHeight="true" outlineLevel="0" collapsed="false">
      <c r="A127" s="24" t="s">
        <v>206</v>
      </c>
      <c r="B127" s="24"/>
      <c r="C127" s="24"/>
      <c r="D127" s="24"/>
      <c r="E127" s="24"/>
      <c r="F127" s="24"/>
      <c r="G127" s="24"/>
      <c r="H127" s="24"/>
      <c r="I127" s="24"/>
      <c r="J127" s="24"/>
    </row>
    <row r="128" customFormat="false" ht="42" hidden="false" customHeight="true" outlineLevel="0" collapsed="false">
      <c r="A128" s="31" t="s">
        <v>317</v>
      </c>
      <c r="B128" s="32" t="s">
        <v>208</v>
      </c>
      <c r="C128" s="33" t="s">
        <v>225</v>
      </c>
      <c r="D128" s="33" t="s">
        <v>318</v>
      </c>
      <c r="E128" s="25" t="s">
        <v>68</v>
      </c>
      <c r="F128" s="29" t="s">
        <v>40</v>
      </c>
      <c r="G128" s="30" t="s">
        <v>38</v>
      </c>
      <c r="H128" s="30" t="s">
        <v>69</v>
      </c>
      <c r="I128" s="32"/>
      <c r="J128" s="33"/>
    </row>
    <row r="129" customFormat="false" ht="18" hidden="false" customHeight="true" outlineLevel="0" collapsed="false">
      <c r="A129" s="24" t="s">
        <v>118</v>
      </c>
      <c r="B129" s="24"/>
      <c r="C129" s="24"/>
      <c r="D129" s="24"/>
      <c r="E129" s="24"/>
      <c r="F129" s="24"/>
      <c r="G129" s="24"/>
      <c r="H129" s="24"/>
      <c r="I129" s="24"/>
      <c r="J129" s="24"/>
    </row>
    <row r="130" customFormat="false" ht="42" hidden="false" customHeight="true" outlineLevel="0" collapsed="false">
      <c r="A130" s="31" t="s">
        <v>319</v>
      </c>
      <c r="B130" s="32" t="s">
        <v>120</v>
      </c>
      <c r="C130" s="33" t="s">
        <v>258</v>
      </c>
      <c r="D130" s="33" t="s">
        <v>320</v>
      </c>
      <c r="E130" s="25" t="s">
        <v>68</v>
      </c>
      <c r="F130" s="28" t="s">
        <v>42</v>
      </c>
      <c r="G130" s="28" t="s">
        <v>42</v>
      </c>
      <c r="H130" s="29" t="s">
        <v>72</v>
      </c>
      <c r="I130" s="32"/>
      <c r="J130" s="33"/>
    </row>
    <row r="131" customFormat="false" ht="18" hidden="false" customHeight="true" outlineLevel="0" collapsed="false">
      <c r="A131" s="24" t="s">
        <v>63</v>
      </c>
      <c r="B131" s="24"/>
      <c r="C131" s="24"/>
      <c r="D131" s="24"/>
      <c r="E131" s="24"/>
      <c r="F131" s="24"/>
      <c r="G131" s="24"/>
      <c r="H131" s="24"/>
      <c r="I131" s="24"/>
      <c r="J131" s="24"/>
    </row>
    <row r="132" customFormat="false" ht="42" hidden="false" customHeight="true" outlineLevel="0" collapsed="false">
      <c r="A132" s="31" t="s">
        <v>321</v>
      </c>
      <c r="B132" s="32" t="s">
        <v>65</v>
      </c>
      <c r="C132" s="33" t="s">
        <v>110</v>
      </c>
      <c r="D132" s="33" t="s">
        <v>322</v>
      </c>
      <c r="E132" s="34" t="s">
        <v>112</v>
      </c>
      <c r="F132" s="35" t="s">
        <v>46</v>
      </c>
      <c r="G132" s="28" t="s">
        <v>42</v>
      </c>
      <c r="H132" s="34" t="s">
        <v>113</v>
      </c>
      <c r="I132" s="32"/>
      <c r="J132" s="33"/>
    </row>
    <row r="133" customFormat="false" ht="18" hidden="false" customHeight="true" outlineLevel="0" collapsed="false">
      <c r="A133" s="24" t="s">
        <v>118</v>
      </c>
      <c r="B133" s="24"/>
      <c r="C133" s="24"/>
      <c r="D133" s="24"/>
      <c r="E133" s="24"/>
      <c r="F133" s="24"/>
      <c r="G133" s="24"/>
      <c r="H133" s="24"/>
      <c r="I133" s="24"/>
      <c r="J133" s="24"/>
    </row>
    <row r="134" customFormat="false" ht="42" hidden="false" customHeight="true" outlineLevel="0" collapsed="false">
      <c r="A134" s="31" t="s">
        <v>323</v>
      </c>
      <c r="B134" s="32" t="s">
        <v>120</v>
      </c>
      <c r="C134" s="33" t="s">
        <v>143</v>
      </c>
      <c r="D134" s="33" t="s">
        <v>324</v>
      </c>
      <c r="E134" s="25" t="s">
        <v>68</v>
      </c>
      <c r="F134" s="28" t="s">
        <v>42</v>
      </c>
      <c r="G134" s="28" t="s">
        <v>42</v>
      </c>
      <c r="H134" s="29" t="s">
        <v>72</v>
      </c>
      <c r="I134" s="32"/>
      <c r="J134" s="33"/>
    </row>
    <row r="135" customFormat="false" ht="21.75" hidden="false" customHeight="true" outlineLevel="0" collapsed="false">
      <c r="A135" s="36" t="s">
        <v>325</v>
      </c>
      <c r="B135" s="36"/>
      <c r="C135" s="36"/>
      <c r="D135" s="36"/>
      <c r="E135" s="25" t="s">
        <v>326</v>
      </c>
      <c r="F135" s="25" t="str">
        <f aca="false">COUNTIF(F4:F134,"Conformant")&amp;" Conformant / "&amp;COUNTIF(F4:F134,"Partial")&amp;" Partial / "&amp;COUNTIF(F4:F134,"Non-Conformant")&amp;" Non-Conformant"</f>
        <v>5 Conformant / 24 Partial / 67 Non-Conformant</v>
      </c>
      <c r="G135" s="25" t="str">
        <f aca="false">COUNTIF(G4:G134,"Conformant")&amp;" Conformant / "&amp;COUNTIF(G4:G134,"Partial")&amp;" Partial / "&amp;COUNTIF(G4:G134,"Non-Conformant")&amp;" Non-Conformant"</f>
        <v>14 Conformant / 36 Partial / 57 Non-Conformant</v>
      </c>
      <c r="H135" s="25" t="str">
        <f aca="false">COUNTIF(H4:H134,"Improved")&amp;" Improved / "&amp;COUNTIF(H4:H134,"New Gap")&amp;" New Gaps"</f>
        <v>27 Improved / 11 New Gaps</v>
      </c>
    </row>
  </sheetData>
  <mergeCells count="23">
    <mergeCell ref="A1:J1"/>
    <mergeCell ref="A2:J2"/>
    <mergeCell ref="A4:J4"/>
    <mergeCell ref="A26:J26"/>
    <mergeCell ref="A51:J51"/>
    <mergeCell ref="A66:J66"/>
    <mergeCell ref="A80:J80"/>
    <mergeCell ref="A85:J85"/>
    <mergeCell ref="A100:J100"/>
    <mergeCell ref="A103:J103"/>
    <mergeCell ref="A107:J107"/>
    <mergeCell ref="A112:J112"/>
    <mergeCell ref="A114:J114"/>
    <mergeCell ref="A116:J116"/>
    <mergeCell ref="A118:J118"/>
    <mergeCell ref="A121:J121"/>
    <mergeCell ref="A123:J123"/>
    <mergeCell ref="A125:J125"/>
    <mergeCell ref="A127:J127"/>
    <mergeCell ref="A129:J129"/>
    <mergeCell ref="A131:J131"/>
    <mergeCell ref="A133:J133"/>
    <mergeCell ref="A135:D135"/>
  </mergeCells>
  <dataValidations count="3">
    <dataValidation allowBlank="true" errorStyle="stop" operator="between" showDropDown="false" showErrorMessage="false" showInputMessage="false" sqref="G4:G200" type="list">
      <formula1>"Conformant,Partial,Non-Conformant,N/A,Not Assessed"</formula1>
      <formula2>0</formula2>
    </dataValidation>
    <dataValidation allowBlank="true" errorStyle="stop" operator="between" showDropDown="false" showErrorMessage="false" showInputMessage="false" sqref="H4:H200" type="list">
      <formula1>"Improved,Regressed,No Change,New Gap,N/A"</formula1>
      <formula2>0</formula2>
    </dataValidation>
    <dataValidation allowBlank="true" errorStyle="stop" operator="between" showDropDown="false" showErrorMessage="false" showInputMessage="false" sqref="E4:E200" type="list">
      <formula1>"Yes,Partial,New"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30"/>
    <col collapsed="false" customWidth="true" hidden="false" outlineLevel="0" max="4" min="4" style="0" width="22"/>
    <col collapsed="false" customWidth="true" hidden="false" outlineLevel="0" max="6" min="5" style="0" width="18"/>
    <col collapsed="false" customWidth="true" hidden="false" outlineLevel="0" max="7" min="7" style="0" width="20"/>
    <col collapsed="false" customWidth="true" hidden="false" outlineLevel="0" max="8" min="8" style="0" width="36"/>
  </cols>
  <sheetData>
    <row r="1" customFormat="false" ht="25.5" hidden="false" customHeight="true" outlineLevel="0" collapsed="false">
      <c r="A1" s="21" t="s">
        <v>327</v>
      </c>
      <c r="B1" s="21"/>
      <c r="C1" s="21"/>
      <c r="D1" s="21"/>
      <c r="E1" s="21"/>
      <c r="F1" s="21"/>
      <c r="G1" s="21"/>
      <c r="H1" s="21"/>
    </row>
    <row r="2" customFormat="false" ht="15.75" hidden="false" customHeight="true" outlineLevel="0" collapsed="false">
      <c r="A2" s="22" t="s">
        <v>328</v>
      </c>
      <c r="B2" s="22"/>
      <c r="C2" s="22"/>
      <c r="D2" s="22"/>
      <c r="E2" s="22"/>
      <c r="F2" s="22"/>
      <c r="G2" s="22"/>
      <c r="H2" s="22"/>
    </row>
    <row r="3" customFormat="false" ht="21.75" hidden="false" customHeight="true" outlineLevel="0" collapsed="false">
      <c r="A3" s="23" t="s">
        <v>329</v>
      </c>
      <c r="B3" s="23" t="s">
        <v>330</v>
      </c>
      <c r="C3" s="23" t="s">
        <v>331</v>
      </c>
      <c r="D3" s="23" t="s">
        <v>332</v>
      </c>
      <c r="E3" s="23" t="s">
        <v>333</v>
      </c>
      <c r="F3" s="23" t="s">
        <v>334</v>
      </c>
      <c r="G3" s="23" t="s">
        <v>61</v>
      </c>
      <c r="H3" s="23" t="s">
        <v>335</v>
      </c>
    </row>
    <row r="4" customFormat="false" ht="37.5" hidden="false" customHeight="true" outlineLevel="0" collapsed="false">
      <c r="A4" s="25" t="s">
        <v>336</v>
      </c>
      <c r="B4" s="37" t="s">
        <v>337</v>
      </c>
      <c r="C4" s="27" t="s">
        <v>338</v>
      </c>
      <c r="D4" s="37" t="s">
        <v>339</v>
      </c>
      <c r="E4" s="38" t="s">
        <v>42</v>
      </c>
      <c r="F4" s="30" t="s">
        <v>340</v>
      </c>
      <c r="G4" s="37" t="s">
        <v>341</v>
      </c>
      <c r="H4" s="27" t="s">
        <v>342</v>
      </c>
    </row>
    <row r="5" customFormat="false" ht="37.5" hidden="false" customHeight="true" outlineLevel="0" collapsed="false">
      <c r="A5" s="31" t="s">
        <v>343</v>
      </c>
      <c r="B5" s="39" t="s">
        <v>337</v>
      </c>
      <c r="C5" s="33" t="s">
        <v>344</v>
      </c>
      <c r="D5" s="39" t="s">
        <v>345</v>
      </c>
      <c r="E5" s="38" t="s">
        <v>42</v>
      </c>
      <c r="F5" s="30" t="s">
        <v>340</v>
      </c>
      <c r="G5" s="39" t="s">
        <v>346</v>
      </c>
      <c r="H5" s="33" t="s">
        <v>347</v>
      </c>
    </row>
    <row r="6" customFormat="false" ht="37.5" hidden="false" customHeight="true" outlineLevel="0" collapsed="false">
      <c r="A6" s="25" t="s">
        <v>348</v>
      </c>
      <c r="B6" s="37" t="s">
        <v>337</v>
      </c>
      <c r="C6" s="27" t="s">
        <v>349</v>
      </c>
      <c r="D6" s="37" t="s">
        <v>345</v>
      </c>
      <c r="E6" s="38" t="s">
        <v>42</v>
      </c>
      <c r="F6" s="30" t="s">
        <v>340</v>
      </c>
      <c r="G6" s="37" t="s">
        <v>350</v>
      </c>
      <c r="H6" s="27" t="s">
        <v>351</v>
      </c>
    </row>
    <row r="7" customFormat="false" ht="37.5" hidden="false" customHeight="true" outlineLevel="0" collapsed="false">
      <c r="A7" s="31" t="s">
        <v>352</v>
      </c>
      <c r="B7" s="39" t="s">
        <v>337</v>
      </c>
      <c r="C7" s="33" t="s">
        <v>353</v>
      </c>
      <c r="D7" s="39" t="s">
        <v>354</v>
      </c>
      <c r="E7" s="38" t="s">
        <v>42</v>
      </c>
      <c r="F7" s="30" t="s">
        <v>340</v>
      </c>
      <c r="G7" s="39" t="s">
        <v>355</v>
      </c>
      <c r="H7" s="33" t="s">
        <v>356</v>
      </c>
    </row>
    <row r="8" customFormat="false" ht="37.5" hidden="false" customHeight="true" outlineLevel="0" collapsed="false">
      <c r="A8" s="25" t="s">
        <v>357</v>
      </c>
      <c r="B8" s="37" t="s">
        <v>337</v>
      </c>
      <c r="C8" s="27" t="s">
        <v>358</v>
      </c>
      <c r="D8" s="37" t="s">
        <v>359</v>
      </c>
      <c r="E8" s="38" t="s">
        <v>42</v>
      </c>
      <c r="F8" s="30" t="s">
        <v>340</v>
      </c>
      <c r="G8" s="37" t="s">
        <v>360</v>
      </c>
      <c r="H8" s="27" t="s">
        <v>361</v>
      </c>
    </row>
    <row r="9" customFormat="false" ht="37.5" hidden="false" customHeight="true" outlineLevel="0" collapsed="false">
      <c r="A9" s="31" t="s">
        <v>362</v>
      </c>
      <c r="B9" s="39" t="s">
        <v>337</v>
      </c>
      <c r="C9" s="33" t="s">
        <v>363</v>
      </c>
      <c r="D9" s="39" t="s">
        <v>364</v>
      </c>
      <c r="E9" s="38" t="s">
        <v>42</v>
      </c>
      <c r="F9" s="30" t="s">
        <v>340</v>
      </c>
      <c r="G9" s="39" t="s">
        <v>365</v>
      </c>
      <c r="H9" s="33" t="s">
        <v>366</v>
      </c>
    </row>
    <row r="10" customFormat="false" ht="37.5" hidden="false" customHeight="true" outlineLevel="0" collapsed="false">
      <c r="A10" s="25" t="s">
        <v>367</v>
      </c>
      <c r="B10" s="37" t="s">
        <v>337</v>
      </c>
      <c r="C10" s="27" t="s">
        <v>368</v>
      </c>
      <c r="D10" s="37" t="s">
        <v>359</v>
      </c>
      <c r="E10" s="38" t="s">
        <v>42</v>
      </c>
      <c r="F10" s="30" t="s">
        <v>340</v>
      </c>
      <c r="G10" s="37" t="s">
        <v>369</v>
      </c>
      <c r="H10" s="27" t="s">
        <v>370</v>
      </c>
    </row>
    <row r="11" customFormat="false" ht="37.5" hidden="false" customHeight="true" outlineLevel="0" collapsed="false">
      <c r="A11" s="31" t="s">
        <v>371</v>
      </c>
      <c r="B11" s="39" t="s">
        <v>337</v>
      </c>
      <c r="C11" s="33" t="s">
        <v>372</v>
      </c>
      <c r="D11" s="39" t="s">
        <v>373</v>
      </c>
      <c r="E11" s="38" t="s">
        <v>42</v>
      </c>
      <c r="F11" s="29" t="s">
        <v>374</v>
      </c>
      <c r="G11" s="39" t="s">
        <v>375</v>
      </c>
      <c r="H11" s="33" t="s">
        <v>376</v>
      </c>
    </row>
    <row r="12" customFormat="false" ht="37.5" hidden="false" customHeight="true" outlineLevel="0" collapsed="false">
      <c r="A12" s="25" t="s">
        <v>377</v>
      </c>
      <c r="B12" s="37" t="s">
        <v>378</v>
      </c>
      <c r="C12" s="27" t="s">
        <v>379</v>
      </c>
      <c r="D12" s="37" t="s">
        <v>359</v>
      </c>
      <c r="E12" s="38" t="s">
        <v>42</v>
      </c>
      <c r="F12" s="30" t="s">
        <v>340</v>
      </c>
      <c r="G12" s="37" t="s">
        <v>360</v>
      </c>
      <c r="H12" s="27" t="s">
        <v>380</v>
      </c>
    </row>
    <row r="13" customFormat="false" ht="37.5" hidden="false" customHeight="true" outlineLevel="0" collapsed="false">
      <c r="A13" s="31" t="s">
        <v>381</v>
      </c>
      <c r="B13" s="39" t="s">
        <v>378</v>
      </c>
      <c r="C13" s="33" t="s">
        <v>382</v>
      </c>
      <c r="D13" s="39" t="s">
        <v>383</v>
      </c>
      <c r="E13" s="38" t="s">
        <v>42</v>
      </c>
      <c r="F13" s="29" t="s">
        <v>374</v>
      </c>
      <c r="G13" s="39" t="s">
        <v>384</v>
      </c>
      <c r="H13" s="33" t="s">
        <v>385</v>
      </c>
    </row>
    <row r="14" customFormat="false" ht="37.5" hidden="false" customHeight="true" outlineLevel="0" collapsed="false">
      <c r="A14" s="25" t="s">
        <v>386</v>
      </c>
      <c r="B14" s="37" t="s">
        <v>378</v>
      </c>
      <c r="C14" s="27" t="s">
        <v>387</v>
      </c>
      <c r="D14" s="37" t="s">
        <v>373</v>
      </c>
      <c r="E14" s="38" t="s">
        <v>42</v>
      </c>
      <c r="F14" s="28" t="s">
        <v>388</v>
      </c>
      <c r="G14" s="37"/>
      <c r="H14" s="27" t="s">
        <v>389</v>
      </c>
    </row>
    <row r="15" customFormat="false" ht="37.5" hidden="false" customHeight="true" outlineLevel="0" collapsed="false">
      <c r="A15" s="31" t="s">
        <v>390</v>
      </c>
      <c r="B15" s="39" t="s">
        <v>378</v>
      </c>
      <c r="C15" s="33" t="s">
        <v>391</v>
      </c>
      <c r="D15" s="39" t="s">
        <v>359</v>
      </c>
      <c r="E15" s="38" t="s">
        <v>42</v>
      </c>
      <c r="F15" s="28" t="s">
        <v>388</v>
      </c>
      <c r="G15" s="39"/>
      <c r="H15" s="33" t="s">
        <v>392</v>
      </c>
    </row>
    <row r="16" customFormat="false" ht="37.5" hidden="false" customHeight="true" outlineLevel="0" collapsed="false">
      <c r="A16" s="25" t="s">
        <v>393</v>
      </c>
      <c r="B16" s="37" t="s">
        <v>378</v>
      </c>
      <c r="C16" s="27" t="s">
        <v>394</v>
      </c>
      <c r="D16" s="37" t="s">
        <v>395</v>
      </c>
      <c r="E16" s="38" t="s">
        <v>42</v>
      </c>
      <c r="F16" s="29" t="s">
        <v>374</v>
      </c>
      <c r="G16" s="37" t="s">
        <v>396</v>
      </c>
      <c r="H16" s="27" t="s">
        <v>397</v>
      </c>
    </row>
    <row r="17" customFormat="false" ht="37.5" hidden="false" customHeight="true" outlineLevel="0" collapsed="false">
      <c r="A17" s="31" t="s">
        <v>398</v>
      </c>
      <c r="B17" s="39" t="s">
        <v>378</v>
      </c>
      <c r="C17" s="33" t="s">
        <v>399</v>
      </c>
      <c r="D17" s="39" t="s">
        <v>400</v>
      </c>
      <c r="E17" s="38" t="s">
        <v>42</v>
      </c>
      <c r="F17" s="28" t="s">
        <v>388</v>
      </c>
      <c r="G17" s="39"/>
      <c r="H17" s="33" t="s">
        <v>401</v>
      </c>
    </row>
    <row r="18" customFormat="false" ht="37.5" hidden="false" customHeight="true" outlineLevel="0" collapsed="false">
      <c r="A18" s="25" t="s">
        <v>402</v>
      </c>
      <c r="B18" s="37" t="s">
        <v>378</v>
      </c>
      <c r="C18" s="27" t="s">
        <v>403</v>
      </c>
      <c r="D18" s="37" t="s">
        <v>345</v>
      </c>
      <c r="E18" s="38" t="s">
        <v>42</v>
      </c>
      <c r="F18" s="29" t="s">
        <v>40</v>
      </c>
      <c r="G18" s="37" t="s">
        <v>404</v>
      </c>
      <c r="H18" s="27" t="s">
        <v>405</v>
      </c>
    </row>
    <row r="19" customFormat="false" ht="37.5" hidden="false" customHeight="true" outlineLevel="0" collapsed="false">
      <c r="A19" s="31" t="s">
        <v>406</v>
      </c>
      <c r="B19" s="39" t="s">
        <v>378</v>
      </c>
      <c r="C19" s="33" t="s">
        <v>407</v>
      </c>
      <c r="D19" s="39" t="s">
        <v>364</v>
      </c>
      <c r="E19" s="38" t="s">
        <v>42</v>
      </c>
      <c r="F19" s="28" t="s">
        <v>388</v>
      </c>
      <c r="G19" s="39"/>
      <c r="H19" s="33" t="s">
        <v>408</v>
      </c>
    </row>
    <row r="20" customFormat="false" ht="37.5" hidden="false" customHeight="true" outlineLevel="0" collapsed="false">
      <c r="A20" s="25" t="s">
        <v>409</v>
      </c>
      <c r="B20" s="37" t="s">
        <v>378</v>
      </c>
      <c r="C20" s="27" t="s">
        <v>410</v>
      </c>
      <c r="D20" s="37" t="s">
        <v>395</v>
      </c>
      <c r="E20" s="38" t="s">
        <v>42</v>
      </c>
      <c r="F20" s="28" t="s">
        <v>388</v>
      </c>
      <c r="G20" s="37"/>
      <c r="H20" s="27" t="s">
        <v>411</v>
      </c>
    </row>
    <row r="21" customFormat="false" ht="37.5" hidden="false" customHeight="true" outlineLevel="0" collapsed="false">
      <c r="A21" s="31" t="s">
        <v>412</v>
      </c>
      <c r="B21" s="39" t="s">
        <v>378</v>
      </c>
      <c r="C21" s="33" t="s">
        <v>413</v>
      </c>
      <c r="D21" s="39" t="s">
        <v>373</v>
      </c>
      <c r="E21" s="38" t="s">
        <v>42</v>
      </c>
      <c r="F21" s="28" t="s">
        <v>388</v>
      </c>
      <c r="G21" s="39"/>
      <c r="H21" s="33" t="s">
        <v>414</v>
      </c>
    </row>
    <row r="22" customFormat="false" ht="37.5" hidden="false" customHeight="true" outlineLevel="0" collapsed="false">
      <c r="A22" s="25" t="s">
        <v>415</v>
      </c>
      <c r="B22" s="37" t="s">
        <v>416</v>
      </c>
      <c r="C22" s="27" t="s">
        <v>417</v>
      </c>
      <c r="D22" s="37" t="s">
        <v>418</v>
      </c>
      <c r="E22" s="38" t="s">
        <v>42</v>
      </c>
      <c r="F22" s="28" t="s">
        <v>388</v>
      </c>
      <c r="G22" s="37"/>
      <c r="H22" s="27" t="s">
        <v>419</v>
      </c>
    </row>
    <row r="23" customFormat="false" ht="37.5" hidden="false" customHeight="true" outlineLevel="0" collapsed="false">
      <c r="A23" s="31" t="s">
        <v>420</v>
      </c>
      <c r="B23" s="39" t="s">
        <v>416</v>
      </c>
      <c r="C23" s="33" t="s">
        <v>421</v>
      </c>
      <c r="D23" s="39" t="s">
        <v>354</v>
      </c>
      <c r="E23" s="38" t="s">
        <v>42</v>
      </c>
      <c r="F23" s="29" t="s">
        <v>374</v>
      </c>
      <c r="G23" s="39" t="s">
        <v>422</v>
      </c>
      <c r="H23" s="33" t="s">
        <v>423</v>
      </c>
    </row>
    <row r="24" customFormat="false" ht="37.5" hidden="false" customHeight="true" outlineLevel="0" collapsed="false">
      <c r="A24" s="25" t="s">
        <v>424</v>
      </c>
      <c r="B24" s="37" t="s">
        <v>416</v>
      </c>
      <c r="C24" s="27" t="s">
        <v>425</v>
      </c>
      <c r="D24" s="37" t="s">
        <v>400</v>
      </c>
      <c r="E24" s="38" t="s">
        <v>42</v>
      </c>
      <c r="F24" s="28" t="s">
        <v>388</v>
      </c>
      <c r="G24" s="37"/>
      <c r="H24" s="27" t="s">
        <v>426</v>
      </c>
    </row>
    <row r="25" customFormat="false" ht="37.5" hidden="false" customHeight="true" outlineLevel="0" collapsed="false">
      <c r="A25" s="31" t="s">
        <v>427</v>
      </c>
      <c r="B25" s="39" t="s">
        <v>416</v>
      </c>
      <c r="C25" s="33" t="s">
        <v>428</v>
      </c>
      <c r="D25" s="39" t="s">
        <v>345</v>
      </c>
      <c r="E25" s="38" t="s">
        <v>42</v>
      </c>
      <c r="F25" s="28" t="s">
        <v>388</v>
      </c>
      <c r="G25" s="39"/>
      <c r="H25" s="33" t="s">
        <v>429</v>
      </c>
    </row>
    <row r="26" customFormat="false" ht="37.5" hidden="false" customHeight="true" outlineLevel="0" collapsed="false">
      <c r="A26" s="25" t="s">
        <v>430</v>
      </c>
      <c r="B26" s="37" t="s">
        <v>416</v>
      </c>
      <c r="C26" s="27" t="s">
        <v>431</v>
      </c>
      <c r="D26" s="37" t="s">
        <v>395</v>
      </c>
      <c r="E26" s="38" t="s">
        <v>42</v>
      </c>
      <c r="F26" s="28" t="s">
        <v>388</v>
      </c>
      <c r="G26" s="37"/>
      <c r="H26" s="27" t="s">
        <v>432</v>
      </c>
    </row>
    <row r="27" customFormat="false" ht="37.5" hidden="false" customHeight="true" outlineLevel="0" collapsed="false">
      <c r="A27" s="31" t="s">
        <v>433</v>
      </c>
      <c r="B27" s="39" t="s">
        <v>416</v>
      </c>
      <c r="C27" s="33" t="s">
        <v>434</v>
      </c>
      <c r="D27" s="39" t="s">
        <v>395</v>
      </c>
      <c r="E27" s="38" t="s">
        <v>42</v>
      </c>
      <c r="F27" s="28" t="s">
        <v>388</v>
      </c>
      <c r="G27" s="39"/>
      <c r="H27" s="33" t="s">
        <v>435</v>
      </c>
    </row>
    <row r="28" customFormat="false" ht="37.5" hidden="false" customHeight="true" outlineLevel="0" collapsed="false">
      <c r="A28" s="25" t="s">
        <v>436</v>
      </c>
      <c r="B28" s="37" t="s">
        <v>416</v>
      </c>
      <c r="C28" s="27" t="s">
        <v>437</v>
      </c>
      <c r="D28" s="37" t="s">
        <v>395</v>
      </c>
      <c r="E28" s="38" t="s">
        <v>42</v>
      </c>
      <c r="F28" s="28" t="s">
        <v>388</v>
      </c>
      <c r="G28" s="37"/>
      <c r="H28" s="27" t="s">
        <v>438</v>
      </c>
    </row>
    <row r="29" customFormat="false" ht="37.5" hidden="false" customHeight="true" outlineLevel="0" collapsed="false">
      <c r="A29" s="31" t="s">
        <v>439</v>
      </c>
      <c r="B29" s="39" t="s">
        <v>416</v>
      </c>
      <c r="C29" s="33" t="s">
        <v>440</v>
      </c>
      <c r="D29" s="39" t="s">
        <v>359</v>
      </c>
      <c r="E29" s="38" t="s">
        <v>42</v>
      </c>
      <c r="F29" s="28" t="s">
        <v>388</v>
      </c>
      <c r="G29" s="39"/>
      <c r="H29" s="33" t="s">
        <v>441</v>
      </c>
    </row>
    <row r="30" customFormat="false" ht="37.5" hidden="false" customHeight="true" outlineLevel="0" collapsed="false">
      <c r="A30" s="25" t="s">
        <v>442</v>
      </c>
      <c r="B30" s="37" t="s">
        <v>443</v>
      </c>
      <c r="C30" s="27" t="s">
        <v>444</v>
      </c>
      <c r="D30" s="37" t="s">
        <v>364</v>
      </c>
      <c r="E30" s="38" t="s">
        <v>42</v>
      </c>
      <c r="F30" s="28" t="s">
        <v>388</v>
      </c>
      <c r="G30" s="37"/>
      <c r="H30" s="27" t="s">
        <v>445</v>
      </c>
    </row>
    <row r="31" customFormat="false" ht="37.5" hidden="false" customHeight="true" outlineLevel="0" collapsed="false">
      <c r="A31" s="31" t="s">
        <v>446</v>
      </c>
      <c r="B31" s="39" t="s">
        <v>443</v>
      </c>
      <c r="C31" s="33" t="s">
        <v>447</v>
      </c>
      <c r="D31" s="39" t="s">
        <v>373</v>
      </c>
      <c r="E31" s="38" t="s">
        <v>42</v>
      </c>
      <c r="F31" s="28" t="s">
        <v>388</v>
      </c>
      <c r="G31" s="39"/>
      <c r="H31" s="33" t="s">
        <v>448</v>
      </c>
    </row>
    <row r="32" customFormat="false" ht="37.5" hidden="false" customHeight="true" outlineLevel="0" collapsed="false">
      <c r="A32" s="25" t="s">
        <v>449</v>
      </c>
      <c r="B32" s="37" t="s">
        <v>443</v>
      </c>
      <c r="C32" s="27" t="s">
        <v>450</v>
      </c>
      <c r="D32" s="37" t="s">
        <v>418</v>
      </c>
      <c r="E32" s="38" t="s">
        <v>42</v>
      </c>
      <c r="F32" s="28" t="s">
        <v>388</v>
      </c>
      <c r="G32" s="37"/>
      <c r="H32" s="27" t="s">
        <v>451</v>
      </c>
    </row>
    <row r="33" customFormat="false" ht="37.5" hidden="false" customHeight="true" outlineLevel="0" collapsed="false">
      <c r="A33" s="31" t="s">
        <v>452</v>
      </c>
      <c r="B33" s="39" t="s">
        <v>443</v>
      </c>
      <c r="C33" s="33" t="s">
        <v>453</v>
      </c>
      <c r="D33" s="39" t="s">
        <v>454</v>
      </c>
      <c r="E33" s="38" t="s">
        <v>42</v>
      </c>
      <c r="F33" s="28" t="s">
        <v>388</v>
      </c>
      <c r="G33" s="39"/>
      <c r="H33" s="33" t="s">
        <v>455</v>
      </c>
    </row>
    <row r="34" customFormat="false" ht="21.75" hidden="false" customHeight="true" outlineLevel="0" collapsed="false">
      <c r="A34" s="36" t="s">
        <v>456</v>
      </c>
      <c r="B34" s="36"/>
      <c r="C34" s="36"/>
      <c r="D34" s="36"/>
      <c r="E34" s="25" t="s">
        <v>457</v>
      </c>
      <c r="F34" s="25" t="str">
        <f aca="false">COUNTIF(F4:F33,"Complete")&amp;" Complete  |  "&amp;COUNTIF(F4:F33,"In Progress")&amp;" In Progress  |  "&amp;COUNTIF(F4:F33,"Not Started")&amp;" Not Started"</f>
        <v>8 Complete  |  4 In Progress  |  17 Not Started</v>
      </c>
      <c r="G34" s="40" t="s">
        <v>458</v>
      </c>
      <c r="H34" s="40"/>
    </row>
  </sheetData>
  <mergeCells count="4">
    <mergeCell ref="A1:H1"/>
    <mergeCell ref="A2:H2"/>
    <mergeCell ref="A34:D34"/>
    <mergeCell ref="G34:H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8"/>
    <col collapsed="false" customWidth="true" hidden="false" outlineLevel="0" max="4" min="4" style="0" width="36"/>
    <col collapsed="false" customWidth="true" hidden="false" outlineLevel="0" max="5" min="5" style="0" width="16"/>
    <col collapsed="false" customWidth="true" hidden="false" outlineLevel="0" max="6" min="6" style="0" width="14"/>
    <col collapsed="false" customWidth="true" hidden="false" outlineLevel="0" max="7" min="7" style="0" width="12"/>
    <col collapsed="false" customWidth="true" hidden="false" outlineLevel="0" max="8" min="8" style="0" width="22"/>
  </cols>
  <sheetData>
    <row r="1" customFormat="false" ht="25.5" hidden="false" customHeight="true" outlineLevel="0" collapsed="false">
      <c r="A1" s="21" t="s">
        <v>459</v>
      </c>
      <c r="B1" s="21"/>
      <c r="C1" s="21"/>
      <c r="D1" s="21"/>
      <c r="E1" s="21"/>
      <c r="F1" s="21"/>
      <c r="G1" s="21"/>
      <c r="H1" s="21"/>
    </row>
    <row r="2" customFormat="false" ht="15.75" hidden="false" customHeight="true" outlineLevel="0" collapsed="false">
      <c r="A2" s="22" t="s">
        <v>460</v>
      </c>
      <c r="B2" s="22"/>
      <c r="C2" s="22"/>
      <c r="D2" s="22"/>
      <c r="E2" s="22"/>
      <c r="F2" s="22"/>
      <c r="G2" s="22"/>
      <c r="H2" s="22"/>
    </row>
    <row r="3" customFormat="false" ht="21.75" hidden="false" customHeight="true" outlineLevel="0" collapsed="false">
      <c r="A3" s="23" t="s">
        <v>461</v>
      </c>
      <c r="B3" s="23" t="s">
        <v>462</v>
      </c>
      <c r="C3" s="23" t="s">
        <v>463</v>
      </c>
      <c r="D3" s="23" t="s">
        <v>464</v>
      </c>
      <c r="E3" s="23" t="s">
        <v>465</v>
      </c>
      <c r="F3" s="23" t="s">
        <v>466</v>
      </c>
      <c r="G3" s="23" t="s">
        <v>467</v>
      </c>
      <c r="H3" s="23" t="s">
        <v>62</v>
      </c>
    </row>
    <row r="4" customFormat="false" ht="36" hidden="false" customHeight="true" outlineLevel="0" collapsed="false">
      <c r="A4" s="41" t="s">
        <v>341</v>
      </c>
      <c r="B4" s="26" t="s">
        <v>336</v>
      </c>
      <c r="C4" s="27" t="s">
        <v>468</v>
      </c>
      <c r="D4" s="27" t="s">
        <v>469</v>
      </c>
      <c r="E4" s="26" t="s">
        <v>470</v>
      </c>
      <c r="F4" s="26" t="s">
        <v>471</v>
      </c>
      <c r="G4" s="26" t="s">
        <v>472</v>
      </c>
      <c r="H4" s="27"/>
    </row>
    <row r="5" customFormat="false" ht="36" hidden="false" customHeight="true" outlineLevel="0" collapsed="false">
      <c r="A5" s="42" t="s">
        <v>346</v>
      </c>
      <c r="B5" s="32" t="s">
        <v>473</v>
      </c>
      <c r="C5" s="33" t="s">
        <v>474</v>
      </c>
      <c r="D5" s="33" t="s">
        <v>475</v>
      </c>
      <c r="E5" s="32" t="s">
        <v>476</v>
      </c>
      <c r="F5" s="32" t="s">
        <v>471</v>
      </c>
      <c r="G5" s="32" t="s">
        <v>477</v>
      </c>
      <c r="H5" s="33" t="s">
        <v>478</v>
      </c>
    </row>
    <row r="6" customFormat="false" ht="36" hidden="false" customHeight="true" outlineLevel="0" collapsed="false">
      <c r="A6" s="41" t="s">
        <v>350</v>
      </c>
      <c r="B6" s="26" t="s">
        <v>479</v>
      </c>
      <c r="C6" s="27" t="s">
        <v>480</v>
      </c>
      <c r="D6" s="27" t="s">
        <v>481</v>
      </c>
      <c r="E6" s="26" t="s">
        <v>482</v>
      </c>
      <c r="F6" s="26" t="s">
        <v>483</v>
      </c>
      <c r="G6" s="26" t="s">
        <v>484</v>
      </c>
      <c r="H6" s="27" t="s">
        <v>485</v>
      </c>
    </row>
    <row r="7" customFormat="false" ht="36" hidden="false" customHeight="true" outlineLevel="0" collapsed="false">
      <c r="A7" s="42" t="s">
        <v>355</v>
      </c>
      <c r="B7" s="32" t="s">
        <v>486</v>
      </c>
      <c r="C7" s="33" t="s">
        <v>487</v>
      </c>
      <c r="D7" s="33" t="s">
        <v>488</v>
      </c>
      <c r="E7" s="32" t="s">
        <v>489</v>
      </c>
      <c r="F7" s="32" t="s">
        <v>483</v>
      </c>
      <c r="G7" s="32" t="s">
        <v>477</v>
      </c>
      <c r="H7" s="33" t="s">
        <v>490</v>
      </c>
    </row>
    <row r="8" customFormat="false" ht="36" hidden="false" customHeight="true" outlineLevel="0" collapsed="false">
      <c r="A8" s="41" t="s">
        <v>360</v>
      </c>
      <c r="B8" s="26" t="s">
        <v>491</v>
      </c>
      <c r="C8" s="27" t="s">
        <v>492</v>
      </c>
      <c r="D8" s="27" t="s">
        <v>493</v>
      </c>
      <c r="E8" s="26" t="s">
        <v>494</v>
      </c>
      <c r="F8" s="26" t="s">
        <v>495</v>
      </c>
      <c r="G8" s="26" t="s">
        <v>472</v>
      </c>
      <c r="H8" s="27" t="s">
        <v>496</v>
      </c>
    </row>
    <row r="9" customFormat="false" ht="36" hidden="false" customHeight="true" outlineLevel="0" collapsed="false">
      <c r="A9" s="42" t="s">
        <v>365</v>
      </c>
      <c r="B9" s="32" t="s">
        <v>497</v>
      </c>
      <c r="C9" s="33" t="s">
        <v>498</v>
      </c>
      <c r="D9" s="33" t="s">
        <v>499</v>
      </c>
      <c r="E9" s="32" t="s">
        <v>494</v>
      </c>
      <c r="F9" s="32" t="s">
        <v>495</v>
      </c>
      <c r="G9" s="32" t="s">
        <v>500</v>
      </c>
      <c r="H9" s="33" t="s">
        <v>501</v>
      </c>
    </row>
    <row r="10" customFormat="false" ht="36" hidden="false" customHeight="true" outlineLevel="0" collapsed="false">
      <c r="A10" s="41" t="s">
        <v>369</v>
      </c>
      <c r="B10" s="26" t="s">
        <v>502</v>
      </c>
      <c r="C10" s="27" t="s">
        <v>503</v>
      </c>
      <c r="D10" s="27" t="s">
        <v>504</v>
      </c>
      <c r="E10" s="26" t="s">
        <v>470</v>
      </c>
      <c r="F10" s="26" t="s">
        <v>505</v>
      </c>
      <c r="G10" s="26" t="s">
        <v>500</v>
      </c>
      <c r="H10" s="27" t="s">
        <v>506</v>
      </c>
    </row>
    <row r="11" customFormat="false" ht="36" hidden="false" customHeight="true" outlineLevel="0" collapsed="false">
      <c r="A11" s="42" t="s">
        <v>375</v>
      </c>
      <c r="B11" s="32" t="s">
        <v>371</v>
      </c>
      <c r="C11" s="33" t="s">
        <v>507</v>
      </c>
      <c r="D11" s="33" t="s">
        <v>508</v>
      </c>
      <c r="E11" s="32" t="s">
        <v>509</v>
      </c>
      <c r="F11" s="32" t="s">
        <v>505</v>
      </c>
      <c r="G11" s="32" t="s">
        <v>472</v>
      </c>
      <c r="H11" s="33" t="s">
        <v>510</v>
      </c>
    </row>
    <row r="12" customFormat="false" ht="36" hidden="false" customHeight="true" outlineLevel="0" collapsed="false">
      <c r="A12" s="41" t="s">
        <v>384</v>
      </c>
      <c r="B12" s="26" t="s">
        <v>511</v>
      </c>
      <c r="C12" s="27" t="s">
        <v>512</v>
      </c>
      <c r="D12" s="27" t="s">
        <v>513</v>
      </c>
      <c r="E12" s="26" t="s">
        <v>494</v>
      </c>
      <c r="F12" s="26" t="s">
        <v>514</v>
      </c>
      <c r="G12" s="26" t="s">
        <v>472</v>
      </c>
      <c r="H12" s="27" t="s">
        <v>515</v>
      </c>
    </row>
    <row r="13" customFormat="false" ht="36" hidden="false" customHeight="true" outlineLevel="0" collapsed="false">
      <c r="A13" s="42" t="s">
        <v>396</v>
      </c>
      <c r="B13" s="32" t="s">
        <v>516</v>
      </c>
      <c r="C13" s="33" t="s">
        <v>517</v>
      </c>
      <c r="D13" s="33" t="s">
        <v>518</v>
      </c>
      <c r="E13" s="32" t="s">
        <v>470</v>
      </c>
      <c r="F13" s="32" t="s">
        <v>519</v>
      </c>
      <c r="G13" s="32" t="s">
        <v>472</v>
      </c>
      <c r="H13" s="33" t="s">
        <v>520</v>
      </c>
    </row>
    <row r="14" customFormat="false" ht="36" hidden="false" customHeight="true" outlineLevel="0" collapsed="false">
      <c r="A14" s="41" t="s">
        <v>404</v>
      </c>
      <c r="B14" s="26" t="s">
        <v>521</v>
      </c>
      <c r="C14" s="27" t="s">
        <v>522</v>
      </c>
      <c r="D14" s="27" t="s">
        <v>523</v>
      </c>
      <c r="E14" s="26" t="s">
        <v>482</v>
      </c>
      <c r="F14" s="26" t="s">
        <v>519</v>
      </c>
      <c r="G14" s="26" t="s">
        <v>472</v>
      </c>
      <c r="H14" s="27" t="s">
        <v>524</v>
      </c>
    </row>
    <row r="15" customFormat="false" ht="36" hidden="false" customHeight="true" outlineLevel="0" collapsed="false">
      <c r="A15" s="42" t="s">
        <v>422</v>
      </c>
      <c r="B15" s="32" t="s">
        <v>525</v>
      </c>
      <c r="C15" s="33" t="s">
        <v>526</v>
      </c>
      <c r="D15" s="33" t="s">
        <v>527</v>
      </c>
      <c r="E15" s="32" t="s">
        <v>489</v>
      </c>
      <c r="F15" s="32" t="s">
        <v>519</v>
      </c>
      <c r="G15" s="32" t="s">
        <v>477</v>
      </c>
      <c r="H15" s="33" t="s">
        <v>528</v>
      </c>
    </row>
    <row r="16" customFormat="false" ht="36" hidden="false" customHeight="true" outlineLevel="0" collapsed="false">
      <c r="A16" s="41" t="s">
        <v>529</v>
      </c>
      <c r="B16" s="26" t="s">
        <v>129</v>
      </c>
      <c r="C16" s="27" t="s">
        <v>530</v>
      </c>
      <c r="D16" s="27" t="s">
        <v>531</v>
      </c>
      <c r="E16" s="26" t="s">
        <v>494</v>
      </c>
      <c r="F16" s="26" t="s">
        <v>495</v>
      </c>
      <c r="G16" s="26" t="s">
        <v>472</v>
      </c>
      <c r="H16" s="27" t="s">
        <v>532</v>
      </c>
    </row>
    <row r="17" customFormat="false" ht="36" hidden="false" customHeight="true" outlineLevel="0" collapsed="false">
      <c r="A17" s="42" t="s">
        <v>533</v>
      </c>
      <c r="B17" s="32" t="s">
        <v>534</v>
      </c>
      <c r="C17" s="33" t="s">
        <v>535</v>
      </c>
      <c r="D17" s="33" t="s">
        <v>536</v>
      </c>
      <c r="E17" s="32" t="s">
        <v>470</v>
      </c>
      <c r="F17" s="32" t="s">
        <v>519</v>
      </c>
      <c r="G17" s="32" t="s">
        <v>537</v>
      </c>
      <c r="H17" s="33" t="s">
        <v>538</v>
      </c>
    </row>
    <row r="18" customFormat="false" ht="36" hidden="false" customHeight="true" outlineLevel="0" collapsed="false">
      <c r="A18" s="41" t="s">
        <v>539</v>
      </c>
      <c r="B18" s="26" t="s">
        <v>317</v>
      </c>
      <c r="C18" s="27" t="s">
        <v>540</v>
      </c>
      <c r="D18" s="27" t="s">
        <v>541</v>
      </c>
      <c r="E18" s="26" t="s">
        <v>489</v>
      </c>
      <c r="F18" s="26" t="s">
        <v>519</v>
      </c>
      <c r="G18" s="26" t="s">
        <v>472</v>
      </c>
      <c r="H18" s="27" t="s">
        <v>542</v>
      </c>
    </row>
    <row r="19" customFormat="false" ht="36" hidden="false" customHeight="true" outlineLevel="0" collapsed="false">
      <c r="A19" s="42" t="s">
        <v>543</v>
      </c>
      <c r="B19" s="32" t="s">
        <v>544</v>
      </c>
      <c r="C19" s="33" t="s">
        <v>545</v>
      </c>
      <c r="D19" s="33" t="s">
        <v>546</v>
      </c>
      <c r="E19" s="32" t="s">
        <v>470</v>
      </c>
      <c r="F19" s="32" t="s">
        <v>519</v>
      </c>
      <c r="G19" s="32" t="s">
        <v>472</v>
      </c>
      <c r="H19" s="33" t="s">
        <v>547</v>
      </c>
    </row>
    <row r="20" customFormat="false" ht="36" hidden="false" customHeight="true" outlineLevel="0" collapsed="false">
      <c r="A20" s="41" t="s">
        <v>548</v>
      </c>
      <c r="B20" s="26" t="s">
        <v>549</v>
      </c>
      <c r="C20" s="27" t="s">
        <v>550</v>
      </c>
      <c r="D20" s="27" t="s">
        <v>551</v>
      </c>
      <c r="E20" s="26" t="s">
        <v>470</v>
      </c>
      <c r="F20" s="26" t="s">
        <v>519</v>
      </c>
      <c r="G20" s="26" t="s">
        <v>472</v>
      </c>
      <c r="H20" s="27" t="s">
        <v>547</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22"/>
    <col collapsed="false" customWidth="true" hidden="false" outlineLevel="0" max="4" min="4" style="0" width="16"/>
    <col collapsed="false" customWidth="true" hidden="false" outlineLevel="0" max="6" min="5" style="0" width="32"/>
    <col collapsed="false" customWidth="true" hidden="false" outlineLevel="0" max="7" min="7" style="0" width="24"/>
  </cols>
  <sheetData>
    <row r="1" customFormat="false" ht="25.5" hidden="false" customHeight="true" outlineLevel="0" collapsed="false">
      <c r="A1" s="21" t="s">
        <v>552</v>
      </c>
      <c r="B1" s="21"/>
      <c r="C1" s="21"/>
      <c r="D1" s="21"/>
      <c r="E1" s="21"/>
      <c r="F1" s="21"/>
      <c r="G1" s="21"/>
    </row>
    <row r="2" customFormat="false" ht="15.75" hidden="false" customHeight="true" outlineLevel="0" collapsed="false">
      <c r="A2" s="22" t="s">
        <v>553</v>
      </c>
      <c r="B2" s="22"/>
      <c r="C2" s="22"/>
      <c r="D2" s="22"/>
      <c r="E2" s="22"/>
      <c r="F2" s="22"/>
      <c r="G2" s="22"/>
    </row>
    <row r="3" customFormat="false" ht="21.75" hidden="false" customHeight="true" outlineLevel="0" collapsed="false">
      <c r="A3" s="23" t="s">
        <v>554</v>
      </c>
      <c r="B3" s="23" t="s">
        <v>555</v>
      </c>
      <c r="C3" s="23" t="s">
        <v>556</v>
      </c>
      <c r="D3" s="23" t="s">
        <v>557</v>
      </c>
      <c r="E3" s="23" t="s">
        <v>558</v>
      </c>
      <c r="F3" s="23" t="s">
        <v>559</v>
      </c>
      <c r="G3" s="23" t="s">
        <v>24</v>
      </c>
    </row>
    <row r="4" customFormat="false" ht="55.5" hidden="false" customHeight="true" outlineLevel="0" collapsed="false">
      <c r="A4" s="41" t="s">
        <v>560</v>
      </c>
      <c r="B4" s="27" t="s">
        <v>561</v>
      </c>
      <c r="C4" s="26" t="s">
        <v>562</v>
      </c>
      <c r="D4" s="26" t="s">
        <v>471</v>
      </c>
      <c r="E4" s="27" t="s">
        <v>563</v>
      </c>
      <c r="F4" s="27" t="s">
        <v>564</v>
      </c>
      <c r="G4" s="43" t="s">
        <v>565</v>
      </c>
    </row>
    <row r="5" customFormat="false" ht="55.5" hidden="false" customHeight="true" outlineLevel="0" collapsed="false">
      <c r="A5" s="42" t="s">
        <v>566</v>
      </c>
      <c r="B5" s="33" t="s">
        <v>470</v>
      </c>
      <c r="C5" s="32" t="s">
        <v>567</v>
      </c>
      <c r="D5" s="32" t="s">
        <v>483</v>
      </c>
      <c r="E5" s="33" t="s">
        <v>568</v>
      </c>
      <c r="F5" s="33" t="s">
        <v>569</v>
      </c>
      <c r="G5" s="43" t="s">
        <v>565</v>
      </c>
    </row>
    <row r="6" customFormat="false" ht="55.5" hidden="false" customHeight="true" outlineLevel="0" collapsed="false">
      <c r="A6" s="41" t="s">
        <v>570</v>
      </c>
      <c r="B6" s="27" t="s">
        <v>571</v>
      </c>
      <c r="C6" s="26" t="s">
        <v>567</v>
      </c>
      <c r="D6" s="26" t="s">
        <v>495</v>
      </c>
      <c r="E6" s="27" t="s">
        <v>572</v>
      </c>
      <c r="F6" s="27" t="s">
        <v>573</v>
      </c>
      <c r="G6" s="43" t="s">
        <v>565</v>
      </c>
    </row>
    <row r="7" customFormat="false" ht="55.5" hidden="false" customHeight="true" outlineLevel="0" collapsed="false">
      <c r="A7" s="42" t="s">
        <v>574</v>
      </c>
      <c r="B7" s="33" t="s">
        <v>575</v>
      </c>
      <c r="C7" s="32" t="s">
        <v>567</v>
      </c>
      <c r="D7" s="32" t="s">
        <v>505</v>
      </c>
      <c r="E7" s="33" t="s">
        <v>576</v>
      </c>
      <c r="F7" s="33" t="s">
        <v>577</v>
      </c>
      <c r="G7" s="43" t="s">
        <v>565</v>
      </c>
    </row>
    <row r="8" customFormat="false" ht="55.5" hidden="false" customHeight="true" outlineLevel="0" collapsed="false">
      <c r="A8" s="41" t="s">
        <v>578</v>
      </c>
      <c r="B8" s="27" t="s">
        <v>579</v>
      </c>
      <c r="C8" s="26" t="s">
        <v>580</v>
      </c>
      <c r="D8" s="26" t="s">
        <v>581</v>
      </c>
      <c r="E8" s="27" t="s">
        <v>582</v>
      </c>
      <c r="F8" s="27" t="s">
        <v>583</v>
      </c>
      <c r="G8" s="43" t="s">
        <v>565</v>
      </c>
    </row>
    <row r="9" customFormat="false" ht="55.5" hidden="false" customHeight="true" outlineLevel="0" collapsed="false">
      <c r="A9" s="42" t="s">
        <v>584</v>
      </c>
      <c r="B9" s="33" t="s">
        <v>585</v>
      </c>
      <c r="C9" s="32" t="s">
        <v>586</v>
      </c>
      <c r="D9" s="32" t="s">
        <v>587</v>
      </c>
      <c r="E9" s="33" t="s">
        <v>588</v>
      </c>
      <c r="F9" s="33" t="s">
        <v>589</v>
      </c>
      <c r="G9" s="44" t="s">
        <v>590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2026-06-26T20:27:55Z</dcterms:created>
  <dc:creator>openpyxl</dc:creator>
  <dc:description/>
  <dc:language>en-US</dc:language>
  <cp:lastModifiedBy/>
  <dcterms:modified xsi:type="dcterms:W3CDTF">2026-06-26T20:27:55Z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