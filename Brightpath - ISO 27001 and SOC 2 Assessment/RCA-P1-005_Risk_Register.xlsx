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isk Methodology" sheetId="2" state="visible" r:id="rId4"/>
    <sheet name="Risk Register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<sst xmlns="http://schemas.openxmlformats.org/spreadsheetml/2006/main" count="535" uniqueCount="314">
  <si>
    <t xml:space="preserve">RESOLUTE COMPLIANCE ADVISORY LLP</t>
  </si>
  <si>
    <t xml:space="preserve">Governance · Risk · Compliance</t>
  </si>
  <si>
    <t xml:space="preserve">INFORMATION SECURITY RISK REGISTER</t>
  </si>
  <si>
    <t xml:space="preserve">ISO 27001:2022 — Brightpath Technologies Pvt. Ltd.</t>
  </si>
  <si>
    <t xml:space="preserve">Prepared for</t>
  </si>
  <si>
    <t xml:space="preserve">Brightpath Technologies Pvt. Ltd.</t>
  </si>
  <si>
    <t xml:space="preserve">IT Services  ·  Bengaluru, India</t>
  </si>
  <si>
    <t xml:space="preserve">Engagement Period: 02 October 2023 – 28 February 2024</t>
  </si>
  <si>
    <t xml:space="preserve">Prepared by</t>
  </si>
  <si>
    <t xml:space="preserve">kay Shahbaaz</t>
  </si>
  <si>
    <t xml:space="preserve">Title</t>
  </si>
  <si>
    <t xml:space="preserve">GRC Analyst</t>
  </si>
  <si>
    <t xml:space="preserve">Date</t>
  </si>
  <si>
    <t xml:space="preserve">28 February 2024</t>
  </si>
  <si>
    <t xml:space="preserve">Field</t>
  </si>
  <si>
    <t xml:space="preserve">Details</t>
  </si>
  <si>
    <t xml:space="preserve">Document Title</t>
  </si>
  <si>
    <t xml:space="preserve">Information Security Risk Register</t>
  </si>
  <si>
    <t xml:space="preserve">Document Ref</t>
  </si>
  <si>
    <t xml:space="preserve">RCA-P1-005</t>
  </si>
  <si>
    <t xml:space="preserve">Client</t>
  </si>
  <si>
    <t xml:space="preserve">Source Assessment</t>
  </si>
  <si>
    <t xml:space="preserve">RCA-P1-002 — ISO 27001:2022 Gap Assessment Report</t>
  </si>
  <si>
    <t xml:space="preserve">Risk Methodology</t>
  </si>
  <si>
    <t xml:space="preserve">Likelihood × Impact (1–5 scale); Score 1–25</t>
  </si>
  <si>
    <t xml:space="preserve">Total Risks</t>
  </si>
  <si>
    <t xml:space="preserve">27</t>
  </si>
  <si>
    <t xml:space="preserve">Version</t>
  </si>
  <si>
    <t xml:space="preserve">v1.0</t>
  </si>
  <si>
    <t xml:space="preserve">Classification</t>
  </si>
  <si>
    <t xml:space="preserve">CONFIDENTIAL</t>
  </si>
  <si>
    <t xml:space="preserve">Status</t>
  </si>
  <si>
    <t xml:space="preserve">Final</t>
  </si>
  <si>
    <t xml:space="preserve">CONFIDENTIALITY NOTICE — This document is prepared exclusively for Brightpath Technologies Pvt. Ltd. and may not be disclosed without prior written consent of Resolute Compliance Advisory LLP.</t>
  </si>
  <si>
    <t xml:space="preserve">RISK ASSESSMENT METHODOLOGY</t>
  </si>
  <si>
    <t xml:space="preserve">Brightpath Technologies Pvt. Ltd.  ·  RCA-P1-005  ·  ISO 27001:2022</t>
  </si>
  <si>
    <t xml:space="preserve">RISK SCORING FORMULA</t>
  </si>
  <si>
    <t xml:space="preserve">Formula</t>
  </si>
  <si>
    <t xml:space="preserve">Inherent Risk Score = Likelihood (L) × Impact (I)</t>
  </si>
  <si>
    <t xml:space="preserve">Scale</t>
  </si>
  <si>
    <t xml:space="preserve">Both Likelihood and Impact rated 1 to 5</t>
  </si>
  <si>
    <t xml:space="preserve">Score Range</t>
  </si>
  <si>
    <t xml:space="preserve">1 (minimum) to 25 (maximum)</t>
  </si>
  <si>
    <t xml:space="preserve">Residual Score</t>
  </si>
  <si>
    <t xml:space="preserve">Residual Risk Score = Residual Likelihood × Residual Impact (after controls applied)</t>
  </si>
  <si>
    <t xml:space="preserve">LIKELIHOOD SCALE</t>
  </si>
  <si>
    <t xml:space="preserve">Rating</t>
  </si>
  <si>
    <t xml:space="preserve">Score</t>
  </si>
  <si>
    <t xml:space="preserve">Definition</t>
  </si>
  <si>
    <t xml:space="preserve">Frequency</t>
  </si>
  <si>
    <t xml:space="preserve">Very Low</t>
  </si>
  <si>
    <t xml:space="preserve">1</t>
  </si>
  <si>
    <t xml:space="preserve">Highly unlikely to occur in the foreseeable future</t>
  </si>
  <si>
    <t xml:space="preserve">Less than once every 5 years</t>
  </si>
  <si>
    <t xml:space="preserve">Low</t>
  </si>
  <si>
    <t xml:space="preserve">2</t>
  </si>
  <si>
    <t xml:space="preserve">Unlikely to occur but has happened in similar contexts</t>
  </si>
  <si>
    <t xml:space="preserve">Once every 2–5 years</t>
  </si>
  <si>
    <t xml:space="preserve">Medium</t>
  </si>
  <si>
    <t xml:space="preserve">3</t>
  </si>
  <si>
    <t xml:space="preserve">Possible — may occur under certain circumstances</t>
  </si>
  <si>
    <t xml:space="preserve">Once per year</t>
  </si>
  <si>
    <t xml:space="preserve">High</t>
  </si>
  <si>
    <t xml:space="preserve">4</t>
  </si>
  <si>
    <t xml:space="preserve">Likely — has occurred before or expected to occur</t>
  </si>
  <si>
    <t xml:space="preserve">Multiple times per year</t>
  </si>
  <si>
    <t xml:space="preserve">Very High</t>
  </si>
  <si>
    <t xml:space="preserve">5</t>
  </si>
  <si>
    <t xml:space="preserve">Near certain — occurs regularly or is actively exploited</t>
  </si>
  <si>
    <t xml:space="preserve">Monthly or more frequent</t>
  </si>
  <si>
    <t xml:space="preserve">IMPACT SCALE</t>
  </si>
  <si>
    <t xml:space="preserve">Business Impact</t>
  </si>
  <si>
    <t xml:space="preserve">Negligible</t>
  </si>
  <si>
    <t xml:space="preserve">Minimal disruption; no reputational or financial consequence</t>
  </si>
  <si>
    <t xml:space="preserve">Operational inconvenience only</t>
  </si>
  <si>
    <t xml:space="preserve">Minor</t>
  </si>
  <si>
    <t xml:space="preserve">Limited impact; manageable without significant resource</t>
  </si>
  <si>
    <t xml:space="preserve">Minor cost or effort to remediate</t>
  </si>
  <si>
    <t xml:space="preserve">Moderate</t>
  </si>
  <si>
    <t xml:space="preserve">Noticeable disruption to operations or client service delivery</t>
  </si>
  <si>
    <t xml:space="preserve">Client notification may be required</t>
  </si>
  <si>
    <t xml:space="preserve">Significant</t>
  </si>
  <si>
    <t xml:space="preserve">Major disruption; potential client data breach or SLA breach</t>
  </si>
  <si>
    <t xml:space="preserve">Regulatory, legal, or contractual exposure</t>
  </si>
  <si>
    <t xml:space="preserve">Critical</t>
  </si>
  <si>
    <t xml:space="preserve">Severe and potentially irreversible impact on the organisation</t>
  </si>
  <si>
    <t xml:space="preserve">Regulatory action, litigation, or loss of clients</t>
  </si>
  <si>
    <t xml:space="preserve">RISK RATING BANDS</t>
  </si>
  <si>
    <t xml:space="preserve">Response Requirement</t>
  </si>
  <si>
    <t xml:space="preserve">20 – 25</t>
  </si>
  <si>
    <t xml:space="preserve">Unacceptable risk requiring immediate escalation</t>
  </si>
  <si>
    <t xml:space="preserve">Immediate action required — escalate to senior management</t>
  </si>
  <si>
    <t xml:space="preserve">12 – 19</t>
  </si>
  <si>
    <t xml:space="preserve">Significant risk requiring priority remediation</t>
  </si>
  <si>
    <t xml:space="preserve">Remediate within 90 days — assign named owner</t>
  </si>
  <si>
    <t xml:space="preserve">6 – 11</t>
  </si>
  <si>
    <t xml:space="preserve">Moderate risk to be addressed in planned programme</t>
  </si>
  <si>
    <t xml:space="preserve">Remediate within 180 days — include in risk treatment plan</t>
  </si>
  <si>
    <t xml:space="preserve">1 – 5</t>
  </si>
  <si>
    <t xml:space="preserve">Acceptable or negligible risk — monitor and review</t>
  </si>
  <si>
    <t xml:space="preserve">Accept with monitoring — review at next risk assessment</t>
  </si>
  <si>
    <t xml:space="preserve">RISK TREATMENT OPTIONS</t>
  </si>
  <si>
    <t xml:space="preserve">Treatment</t>
  </si>
  <si>
    <t xml:space="preserve">Code</t>
  </si>
  <si>
    <t xml:space="preserve">When Appropriate</t>
  </si>
  <si>
    <t xml:space="preserve">Mitigate</t>
  </si>
  <si>
    <t xml:space="preserve">M</t>
  </si>
  <si>
    <t xml:space="preserve">Implement controls to reduce likelihood and/or impact to acceptable level</t>
  </si>
  <si>
    <t xml:space="preserve">Most risks where controls are cost-effective and feasible</t>
  </si>
  <si>
    <t xml:space="preserve">Accept</t>
  </si>
  <si>
    <t xml:space="preserve">A</t>
  </si>
  <si>
    <t xml:space="preserve">Acknowledge risk and accept without further treatment action</t>
  </si>
  <si>
    <t xml:space="preserve">Low-rated risks or where cost of treatment exceeds potential loss</t>
  </si>
  <si>
    <t xml:space="preserve">Transfer</t>
  </si>
  <si>
    <t xml:space="preserve">T</t>
  </si>
  <si>
    <t xml:space="preserve">Transfer risk to third party via insurance or contractual arrangement</t>
  </si>
  <si>
    <t xml:space="preserve">Risks with high financial impact, particularly business continuity</t>
  </si>
  <si>
    <t xml:space="preserve">Avoid</t>
  </si>
  <si>
    <t xml:space="preserve">V</t>
  </si>
  <si>
    <t xml:space="preserve">Eliminate risk by ceasing the activity or process that introduces it</t>
  </si>
  <si>
    <t xml:space="preserve">Where risk cannot be reduced to acceptable level by other means</t>
  </si>
  <si>
    <t xml:space="preserve">RESOLUTE COMPLIANCE ADVISORY LLP  ·  Information Security Risk Register  ·  RCA-P1-005  ·  Brightpath Technologies Pvt. Ltd.</t>
  </si>
  <si>
    <t xml:space="preserve">IDENTIFICATION</t>
  </si>
  <si>
    <t xml:space="preserve">RISK DESCRIPTION</t>
  </si>
  <si>
    <t xml:space="preserve">INHERENT RISK</t>
  </si>
  <si>
    <t xml:space="preserve">TREATMENT</t>
  </si>
  <si>
    <t xml:space="preserve">RESIDUAL RISK</t>
  </si>
  <si>
    <t xml:space="preserve">MANAGEMENT</t>
  </si>
  <si>
    <t xml:space="preserve">Risk
ID</t>
  </si>
  <si>
    <t xml:space="preserve">Domain</t>
  </si>
  <si>
    <t xml:space="preserve">Asset /
Process</t>
  </si>
  <si>
    <t xml:space="preserve">Threat</t>
  </si>
  <si>
    <t xml:space="preserve">Vulnerability</t>
  </si>
  <si>
    <t xml:space="preserve">L</t>
  </si>
  <si>
    <t xml:space="preserve">I</t>
  </si>
  <si>
    <t xml:space="preserve">Control /
Finding Ref</t>
  </si>
  <si>
    <t xml:space="preserve">RL</t>
  </si>
  <si>
    <t xml:space="preserve">RI</t>
  </si>
  <si>
    <t xml:space="preserve">Risk Owner</t>
  </si>
  <si>
    <t xml:space="preserve">Target
Date</t>
  </si>
  <si>
    <t xml:space="preserve">R-001</t>
  </si>
  <si>
    <t xml:space="preserve">Governance</t>
  </si>
  <si>
    <t xml:space="preserve">ISMS Framework</t>
  </si>
  <si>
    <t xml:space="preserve">Absence of formal information security governance</t>
  </si>
  <si>
    <t xml:space="preserve">No information security policy, ISMS scope, or management accountability structure</t>
  </si>
  <si>
    <t xml:space="preserve">F-001 / A.5.1</t>
  </si>
  <si>
    <t xml:space="preserve">CISO / IT Manager</t>
  </si>
  <si>
    <t xml:space="preserve">Mar 2024</t>
  </si>
  <si>
    <t xml:space="preserve">Open</t>
  </si>
  <si>
    <t xml:space="preserve">R-002</t>
  </si>
  <si>
    <t xml:space="preserve">Information Assets</t>
  </si>
  <si>
    <t xml:space="preserve">Uncontrolled information assets</t>
  </si>
  <si>
    <t xml:space="preserve">No formal asset inventory; assets unclassified and without assigned ownership</t>
  </si>
  <si>
    <t xml:space="preserve">F-002 / A.5.9</t>
  </si>
  <si>
    <t xml:space="preserve">IT Manager</t>
  </si>
  <si>
    <t xml:space="preserve">R-003</t>
  </si>
  <si>
    <t xml:space="preserve">Risk Management</t>
  </si>
  <si>
    <t xml:space="preserve">Absence of risk-driven security decisions</t>
  </si>
  <si>
    <t xml:space="preserve">No risk assessment methodology, risk criteria, or documented risk treatment process</t>
  </si>
  <si>
    <t xml:space="preserve">F-003 / Clause 6.1.2</t>
  </si>
  <si>
    <t xml:space="preserve">R-004</t>
  </si>
  <si>
    <t xml:space="preserve">Compliance Monitoring</t>
  </si>
  <si>
    <t xml:space="preserve">Non-compliance with ISO 27001:2022 certification requirements</t>
  </si>
  <si>
    <t xml:space="preserve">Multiple foundational clauses unmet; organisation not eligible for certification audit</t>
  </si>
  <si>
    <t xml:space="preserve">RCA-P1-002 / Multiple</t>
  </si>
  <si>
    <t xml:space="preserve">Sep 2024</t>
  </si>
  <si>
    <t xml:space="preserve">R-005</t>
  </si>
  <si>
    <t xml:space="preserve">Access Control</t>
  </si>
  <si>
    <t xml:space="preserve">AWS Production Environment</t>
  </si>
  <si>
    <t xml:space="preserve">Unauthorised access to production systems</t>
  </si>
  <si>
    <t xml:space="preserve">Developers hold persistent administrative access to production AWS without least-privilege enforcement</t>
  </si>
  <si>
    <t xml:space="preserve">F-004 / A.5.15 / A.8.2</t>
  </si>
  <si>
    <t xml:space="preserve">Feb 2024</t>
  </si>
  <si>
    <t xml:space="preserve">R-006</t>
  </si>
  <si>
    <t xml:space="preserve">Former Employee Credentials</t>
  </si>
  <si>
    <t xml:space="preserve">Unauthorised access by former employees</t>
  </si>
  <si>
    <t xml:space="preserve">Active credentials identified for two former employees not revoked upon departure</t>
  </si>
  <si>
    <t xml:space="preserve">F-004 / A.5.18 / A.6.5</t>
  </si>
  <si>
    <t xml:space="preserve">Immediate</t>
  </si>
  <si>
    <t xml:space="preserve">Open — Live Risk</t>
  </si>
  <si>
    <t xml:space="preserve">R-007</t>
  </si>
  <si>
    <t xml:space="preserve">Identity Lifecycle</t>
  </si>
  <si>
    <t xml:space="preserve">Privilege creep and orphaned accounts</t>
  </si>
  <si>
    <t xml:space="preserve">No formal access provisioning or periodic access review process; accounts accumulate excess rights</t>
  </si>
  <si>
    <t xml:space="preserve">A.5.16 / A.5.17 / A.5.18</t>
  </si>
  <si>
    <t xml:space="preserve">Apr 2024</t>
  </si>
  <si>
    <t xml:space="preserve">R-008</t>
  </si>
  <si>
    <t xml:space="preserve">Authentication Controls</t>
  </si>
  <si>
    <t xml:space="preserve">Account compromise via weak authentication</t>
  </si>
  <si>
    <t xml:space="preserve">MFA not enforced on all AWS accounts; password complexity not formally mandated</t>
  </si>
  <si>
    <t xml:space="preserve">A.8.5</t>
  </si>
  <si>
    <t xml:space="preserve">R-009</t>
  </si>
  <si>
    <t xml:space="preserve">Third-Party Risk</t>
  </si>
  <si>
    <t xml:space="preserve">Supplier Ecosystem</t>
  </si>
  <si>
    <t xml:space="preserve">Security breach via unvetted third-party vendor</t>
  </si>
  <si>
    <t xml:space="preserve">No vendor security assessments conducted; security clauses absent from all supplier contracts</t>
  </si>
  <si>
    <t xml:space="preserve">F-005 / A.5.19 / A.5.20</t>
  </si>
  <si>
    <t xml:space="preserve">May 2024</t>
  </si>
  <si>
    <t xml:space="preserve">R-010</t>
  </si>
  <si>
    <t xml:space="preserve">Cloud Service Provider (AWS)</t>
  </si>
  <si>
    <t xml:space="preserve">Misconfiguration of cloud services</t>
  </si>
  <si>
    <t xml:space="preserve">AWS shared responsibility model not formally documented; no cloud security baseline defined</t>
  </si>
  <si>
    <t xml:space="preserve">A.5.23</t>
  </si>
  <si>
    <t xml:space="preserve">R-011</t>
  </si>
  <si>
    <t xml:space="preserve">ICT Supply Chain</t>
  </si>
  <si>
    <t xml:space="preserve">Software supply chain compromise</t>
  </si>
  <si>
    <t xml:space="preserve">Third-party software components used in development without formal security vetting</t>
  </si>
  <si>
    <t xml:space="preserve">A.5.21 / A.8.25</t>
  </si>
  <si>
    <t xml:space="preserve">Development Lead</t>
  </si>
  <si>
    <t xml:space="preserve">Jun 2024</t>
  </si>
  <si>
    <t xml:space="preserve">R-012</t>
  </si>
  <si>
    <t xml:space="preserve">Incident Management</t>
  </si>
  <si>
    <t xml:space="preserve">Security Incident Handling</t>
  </si>
  <si>
    <t xml:space="preserve">Uncontrolled security incident escalating to data breach</t>
  </si>
  <si>
    <t xml:space="preserve">No incident response plan, severity classification, or defined escalation procedures</t>
  </si>
  <si>
    <t xml:space="preserve">F-006 / A.5.24 / A.5.26</t>
  </si>
  <si>
    <t xml:space="preserve">R-013</t>
  </si>
  <si>
    <t xml:space="preserve">Security Event Detection</t>
  </si>
  <si>
    <t xml:space="preserve">Security events undetected or misclassified</t>
  </si>
  <si>
    <t xml:space="preserve">No SIEM or structured log review process; CloudTrail logs not actively monitored</t>
  </si>
  <si>
    <t xml:space="preserve">A.5.25 / A.8.15 / A.8.16</t>
  </si>
  <si>
    <t xml:space="preserve">R-014</t>
  </si>
  <si>
    <t xml:space="preserve">Post-Incident Learning</t>
  </si>
  <si>
    <t xml:space="preserve">Recurring incidents due to absence of lessons learned process</t>
  </si>
  <si>
    <t xml:space="preserve">No post-incident review process or incident register maintained</t>
  </si>
  <si>
    <t xml:space="preserve">A.5.27</t>
  </si>
  <si>
    <t xml:space="preserve">R-015</t>
  </si>
  <si>
    <t xml:space="preserve">People Security</t>
  </si>
  <si>
    <t xml:space="preserve">Workforce — All Staff</t>
  </si>
  <si>
    <t xml:space="preserve">Social engineering or phishing attack succeeds</t>
  </si>
  <si>
    <t xml:space="preserve">No security awareness training; staff unprepared to identify or report threats</t>
  </si>
  <si>
    <t xml:space="preserve">F-007 / A.6.3</t>
  </si>
  <si>
    <t xml:space="preserve">HR / IT Manager</t>
  </si>
  <si>
    <t xml:space="preserve">R-016</t>
  </si>
  <si>
    <t xml:space="preserve">New Hires</t>
  </si>
  <si>
    <t xml:space="preserve">Insider threat from unverified personnel</t>
  </si>
  <si>
    <t xml:space="preserve">No pre-employment background screening; staff with sensitive access not verified</t>
  </si>
  <si>
    <t xml:space="preserve">F-008 / A.6.1</t>
  </si>
  <si>
    <t xml:space="preserve">HR Manager</t>
  </si>
  <si>
    <t xml:space="preserve">R-017</t>
  </si>
  <si>
    <t xml:space="preserve">Remote Workers</t>
  </si>
  <si>
    <t xml:space="preserve">Data exposure via insecure remote working</t>
  </si>
  <si>
    <t xml:space="preserve">No remote working security policy; use of personal devices and unsecured networks uncontrolled</t>
  </si>
  <si>
    <t xml:space="preserve">A.6.7</t>
  </si>
  <si>
    <t xml:space="preserve">R-018</t>
  </si>
  <si>
    <t xml:space="preserve">Vulnerability Management</t>
  </si>
  <si>
    <t xml:space="preserve">IT Infrastructure</t>
  </si>
  <si>
    <t xml:space="preserve">Exploitation of unpatched systems</t>
  </si>
  <si>
    <t xml:space="preserve">No vulnerability scanning programme; patches applied reactively; systems &gt;90 days overdue</t>
  </si>
  <si>
    <t xml:space="preserve">F-009 / A.8.8</t>
  </si>
  <si>
    <t xml:space="preserve">R-019</t>
  </si>
  <si>
    <t xml:space="preserve">Network Infrastructure</t>
  </si>
  <si>
    <t xml:space="preserve">Lateral movement via unsegregated network</t>
  </si>
  <si>
    <t xml:space="preserve">Production and development environments not formally segregated at network level</t>
  </si>
  <si>
    <t xml:space="preserve">A.8.22</t>
  </si>
  <si>
    <t xml:space="preserve">R-020</t>
  </si>
  <si>
    <t xml:space="preserve">Configuration Baseline</t>
  </si>
  <si>
    <t xml:space="preserve">Exploitation of misconfigured systems</t>
  </si>
  <si>
    <t xml:space="preserve">No configuration management baselines or hardening standards defined</t>
  </si>
  <si>
    <t xml:space="preserve">A.8.9</t>
  </si>
  <si>
    <t xml:space="preserve">R-021</t>
  </si>
  <si>
    <t xml:space="preserve">Secure Development</t>
  </si>
  <si>
    <t xml:space="preserve">Client-Facing Applications</t>
  </si>
  <si>
    <t xml:space="preserve">Vulnerable software delivered to US clients</t>
  </si>
  <si>
    <t xml:space="preserve">No secure SDLC; no security testing prior to deployment; OWASP Top 10 not addressed</t>
  </si>
  <si>
    <t xml:space="preserve">F-010 / A.8.25 / A.8.26 / A.8.29</t>
  </si>
  <si>
    <t xml:space="preserve">R-022</t>
  </si>
  <si>
    <t xml:space="preserve">Source Code</t>
  </si>
  <si>
    <t xml:space="preserve">Unauthorised access to or theft of source code</t>
  </si>
  <si>
    <t xml:space="preserve">GitHub access not formally reviewed; no policy on access to source code repositories</t>
  </si>
  <si>
    <t xml:space="preserve">A.8.4</t>
  </si>
  <si>
    <t xml:space="preserve">R-023</t>
  </si>
  <si>
    <t xml:space="preserve">Test Environments</t>
  </si>
  <si>
    <t xml:space="preserve">Exposure of production data in test environments</t>
  </si>
  <si>
    <t xml:space="preserve">Production data used in test environments without masking or anonymisation</t>
  </si>
  <si>
    <t xml:space="preserve">A.8.33</t>
  </si>
  <si>
    <t xml:space="preserve">R-024</t>
  </si>
  <si>
    <t xml:space="preserve">Business Continuity</t>
  </si>
  <si>
    <t xml:space="preserve">IT Systems / Client Services</t>
  </si>
  <si>
    <t xml:space="preserve">Service disruption causing client SLA breach</t>
  </si>
  <si>
    <t xml:space="preserve">No BCP or DRP; AWS backups untested; no defined RTO or RPO for any system</t>
  </si>
  <si>
    <t xml:space="preserve">A.5.29 / A.5.30 / A1.3</t>
  </si>
  <si>
    <t xml:space="preserve">R-025</t>
  </si>
  <si>
    <t xml:space="preserve">Critical Personnel</t>
  </si>
  <si>
    <t xml:space="preserve">Key person dependency — loss of critical IT staff</t>
  </si>
  <si>
    <t xml:space="preserve">Insufficient documented operating procedures; IT knowledge concentrated in one or two individuals</t>
  </si>
  <si>
    <t xml:space="preserve">A.5.37</t>
  </si>
  <si>
    <t xml:space="preserve">Head of Operations</t>
  </si>
  <si>
    <t xml:space="preserve">Jul 2024</t>
  </si>
  <si>
    <t xml:space="preserve">R-026</t>
  </si>
  <si>
    <t xml:space="preserve">Data Protection</t>
  </si>
  <si>
    <t xml:space="preserve">Client Personal Data</t>
  </si>
  <si>
    <t xml:space="preserve">Unauthorised disclosure or loss of client personal data</t>
  </si>
  <si>
    <t xml:space="preserve">No DLP controls; no data classification; no encryption policy; client data inadequately protected</t>
  </si>
  <si>
    <t xml:space="preserve">A.5.12 / A.8.11 / A.8.12 / A.8.24</t>
  </si>
  <si>
    <t xml:space="preserve">R-027</t>
  </si>
  <si>
    <t xml:space="preserve">Storage Media</t>
  </si>
  <si>
    <t xml:space="preserve">Data leakage via improper media disposal</t>
  </si>
  <si>
    <t xml:space="preserve">No formal media disposal or sanitisation procedure; old hardware not formally decommissioned</t>
  </si>
  <si>
    <t xml:space="preserve">A.7.10 / A.7.14</t>
  </si>
  <si>
    <t xml:space="preserve">RISK REGISTER — SUMMARY DASHBOARD</t>
  </si>
  <si>
    <t xml:space="preserve">Brightpath Technologies Pvt. Ltd.  ·  RCA-P1-005  ·  28 February 2024</t>
  </si>
  <si>
    <t xml:space="preserve">OVERALL RISK SUMMARY</t>
  </si>
  <si>
    <t xml:space="preserve">Live Risks</t>
  </si>
  <si>
    <t xml:space="preserve">INHERENT RISK vs RESIDUAL RISK — BY RATING</t>
  </si>
  <si>
    <t xml:space="preserve">Inherent Count</t>
  </si>
  <si>
    <t xml:space="preserve">Residual Count</t>
  </si>
  <si>
    <t xml:space="preserve">Risk Reduction</t>
  </si>
  <si>
    <t xml:space="preserve">RISK COUNT BY DOMAIN</t>
  </si>
  <si>
    <t xml:space="preserve">Total</t>
  </si>
  <si>
    <t xml:space="preserve">TOTAL</t>
  </si>
  <si>
    <t xml:space="preserve">RISK TREATMENT BREAKDOWN</t>
  </si>
  <si>
    <t xml:space="preserve">Count</t>
  </si>
  <si>
    <t xml:space="preserve">% of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</si>
</sst>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1B2A4A"/>
      <name val="Arial"/>
      <family val="0"/>
      <charset val="1"/>
    </font>
    <font>
      <b val="true"/>
      <sz val="20"/>
      <color rgb="FF1B2A4A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C8A9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sz val="9"/>
      <color rgb="FFE67E22"/>
      <name val="Arial"/>
      <family val="0"/>
      <charset val="1"/>
    </font>
    <font>
      <b val="true"/>
      <sz val="9"/>
      <color rgb="FF7D6608"/>
      <name val="Arial"/>
      <family val="0"/>
      <charset val="1"/>
    </font>
    <font>
      <sz val="9"/>
      <color rgb="FF7D6608"/>
      <name val="Arial"/>
      <family val="0"/>
      <charset val="1"/>
    </font>
    <font>
      <b val="true"/>
      <sz val="9"/>
      <color rgb="FF1E8449"/>
      <name val="Arial"/>
      <family val="0"/>
      <charset val="1"/>
    </font>
    <font>
      <sz val="9"/>
      <color rgb="FF1E8449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9"/>
      <color rgb="FF1B2A4A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1B2A4A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E67E22"/>
      <name val="Arial"/>
      <family val="0"/>
      <charset val="1"/>
    </font>
    <font>
      <b val="true"/>
      <sz val="18"/>
      <color rgb="FF7D6608"/>
      <name val="Arial"/>
      <family val="0"/>
      <charset val="1"/>
    </font>
    <font>
      <b val="true"/>
      <sz val="18"/>
      <color rgb="FF1E8449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2"/>
      <color rgb="FFE67E22"/>
      <name val="Arial"/>
      <family val="0"/>
      <charset val="1"/>
    </font>
    <font>
      <b val="true"/>
      <sz val="12"/>
      <color rgb="FF7D6608"/>
      <name val="Arial"/>
      <family val="0"/>
      <charset val="1"/>
    </font>
    <font>
      <b val="true"/>
      <sz val="12"/>
      <color rgb="FF1B2A4A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8A951"/>
        <bgColor rgb="FFE67E22"/>
      </patternFill>
    </fill>
    <fill>
      <patternFill patternType="solid">
        <fgColor rgb="FFEEF1F7"/>
        <bgColor rgb="FFEAF2F8"/>
      </patternFill>
    </fill>
    <fill>
      <patternFill patternType="solid">
        <fgColor rgb="FFFFFFFF"/>
        <bgColor rgb="FFFEF9E7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D5F5E3"/>
        <bgColor rgb="FFEAF4EA"/>
      </patternFill>
    </fill>
    <fill>
      <patternFill patternType="solid">
        <fgColor rgb="FFE8ECF4"/>
        <bgColor rgb="FFEAF2F8"/>
      </patternFill>
    </fill>
    <fill>
      <patternFill patternType="solid">
        <fgColor rgb="FFFEF9E7"/>
        <bgColor rgb="FFFEF5E7"/>
      </patternFill>
    </fill>
    <fill>
      <patternFill patternType="solid">
        <fgColor rgb="FFEAF4EA"/>
        <bgColor rgb="FFEAF2F8"/>
      </patternFill>
    </fill>
    <fill>
      <patternFill patternType="solid">
        <fgColor rgb="FFF9EBEA"/>
        <bgColor rgb="FFFDEDEC"/>
      </patternFill>
    </fill>
    <fill>
      <patternFill patternType="solid">
        <fgColor rgb="FFF4ECF7"/>
        <bgColor rgb="FFEEF1F7"/>
      </patternFill>
    </fill>
    <fill>
      <patternFill patternType="solid">
        <fgColor rgb="FFFEF5E7"/>
        <bgColor rgb="FFFEF9E7"/>
      </patternFill>
    </fill>
    <fill>
      <patternFill patternType="solid">
        <fgColor rgb="FFEAF2F8"/>
        <bgColor rgb="FFEEF1F7"/>
      </patternFill>
    </fill>
    <fill>
      <patternFill patternType="solid">
        <fgColor rgb="FFEAFAF1"/>
        <bgColor rgb="FFEAF4EA"/>
      </patternFill>
    </fill>
    <fill>
      <patternFill patternType="solid">
        <fgColor rgb="FFFDEDEC"/>
        <bgColor rgb="FFF9EBE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8A951"/>
      </left>
      <right style="medium">
        <color rgb="FFC8A951"/>
      </right>
      <top style="medium">
        <color rgb="FFC8A951"/>
      </top>
      <bottom/>
      <diagonal/>
    </border>
    <border diagonalUp="false" diagonalDown="false">
      <left style="medium">
        <color rgb="FFC8A951"/>
      </left>
      <right style="medium">
        <color rgb="FFC8A951"/>
      </right>
      <top/>
      <bottom/>
      <diagonal/>
    </border>
    <border diagonalUp="false" diagonalDown="false">
      <left style="medium">
        <color rgb="FFC8A951"/>
      </left>
      <right style="medium">
        <color rgb="FFC8A951"/>
      </right>
      <top/>
      <bottom style="medium">
        <color rgb="FFC8A951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EEF1F7"/>
      <rgbColor rgb="FF993366"/>
      <rgbColor rgb="FFFCF3CF"/>
      <rgbColor rgb="FFEAFAF1"/>
      <rgbColor rgb="FF660066"/>
      <rgbColor rgb="FFFF8080"/>
      <rgbColor rgb="FF0066CC"/>
      <rgbColor rgb="FFE8ECF4"/>
      <rgbColor rgb="FF000080"/>
      <rgbColor rgb="FFFF00FF"/>
      <rgbColor rgb="FFFEF5E7"/>
      <rgbColor rgb="FF00FFFF"/>
      <rgbColor rgb="FF800080"/>
      <rgbColor rgb="FF800000"/>
      <rgbColor rgb="FF008080"/>
      <rgbColor rgb="FF0000FF"/>
      <rgbColor rgb="FF00CCFF"/>
      <rgbColor rgb="FFEAF2F8"/>
      <rgbColor rgb="FFD5F5E3"/>
      <rgbColor rgb="FFFDEBD0"/>
      <rgbColor rgb="FFEAF4EA"/>
      <rgbColor rgb="FFF9EBEA"/>
      <rgbColor rgb="FFF4ECF7"/>
      <rgbColor rgb="FFFADBD8"/>
      <rgbColor rgb="FF3366FF"/>
      <rgbColor rgb="FF33CCCC"/>
      <rgbColor rgb="FF99CC00"/>
      <rgbColor rgb="FFFDEDEC"/>
      <rgbColor rgb="FFFF9900"/>
      <rgbColor rgb="FFE67E22"/>
      <rgbColor rgb="FF666666"/>
      <rgbColor rgb="FFC8A951"/>
      <rgbColor rgb="FF003366"/>
      <rgbColor rgb="FF1E8449"/>
      <rgbColor rgb="FF003300"/>
      <rgbColor rgb="FF1A1A1A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4"/>
  </cols>
  <sheetData>
    <row r="1" customFormat="false" ht="18" hidden="false" customHeight="true" outlineLevel="0" collapsed="false"/>
    <row r="2" customFormat="false" ht="18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1"/>
      <c r="C3" s="1"/>
    </row>
    <row r="4" customFormat="false" ht="18" hidden="false" customHeight="true" outlineLevel="0" collapsed="false">
      <c r="B4" s="2" t="s">
        <v>1</v>
      </c>
      <c r="C4" s="2"/>
    </row>
    <row r="5" customFormat="false" ht="3.75" hidden="false" customHeight="true" outlineLevel="0" collapsed="false">
      <c r="B5" s="3"/>
      <c r="C5" s="3"/>
    </row>
    <row r="6" customFormat="false" ht="18" hidden="false" customHeight="true" outlineLevel="0" collapsed="false"/>
    <row r="7" customFormat="false" ht="7.5" hidden="false" customHeight="true" outlineLevel="0" collapsed="false"/>
    <row r="8" customFormat="false" ht="18" hidden="false" customHeight="true" outlineLevel="0" collapsed="false">
      <c r="B8" s="4" t="s">
        <v>2</v>
      </c>
      <c r="C8" s="4"/>
    </row>
    <row r="9" customFormat="false" ht="18" hidden="false" customHeight="true" outlineLevel="0" collapsed="false">
      <c r="B9" s="5" t="s">
        <v>3</v>
      </c>
      <c r="C9" s="5"/>
    </row>
    <row r="10" customFormat="false" ht="9.75" hidden="false" customHeight="true" outlineLevel="0" collapsed="false"/>
    <row r="11" customFormat="false" ht="21.75" hidden="false" customHeight="true" outlineLevel="0" collapsed="false">
      <c r="B11" s="6" t="s">
        <v>4</v>
      </c>
      <c r="C11" s="6"/>
    </row>
    <row r="12" customFormat="false" ht="21.75" hidden="false" customHeight="true" outlineLevel="0" collapsed="false">
      <c r="B12" s="7" t="s">
        <v>5</v>
      </c>
      <c r="C12" s="7"/>
    </row>
    <row r="13" customFormat="false" ht="21.75" hidden="false" customHeight="true" outlineLevel="0" collapsed="false">
      <c r="B13" s="8" t="s">
        <v>6</v>
      </c>
      <c r="C13" s="8"/>
    </row>
    <row r="14" customFormat="false" ht="21.75" hidden="false" customHeight="true" outlineLevel="0" collapsed="false">
      <c r="B14" s="9" t="s">
        <v>7</v>
      </c>
      <c r="C14" s="9"/>
    </row>
    <row r="15" customFormat="false" ht="9.75" hidden="false" customHeight="true" outlineLevel="0" collapsed="false"/>
    <row r="16" customFormat="false" ht="19.5" hidden="false" customHeight="true" outlineLevel="0" collapsed="false">
      <c r="B16" s="10" t="s">
        <v>8</v>
      </c>
      <c r="C16" s="11" t="s">
        <v>9</v>
      </c>
    </row>
    <row r="17" customFormat="false" ht="19.5" hidden="false" customHeight="true" outlineLevel="0" collapsed="false">
      <c r="B17" s="10" t="s">
        <v>10</v>
      </c>
      <c r="C17" s="11" t="s">
        <v>11</v>
      </c>
    </row>
    <row r="18" customFormat="false" ht="19.5" hidden="false" customHeight="true" outlineLevel="0" collapsed="false">
      <c r="B18" s="10" t="s">
        <v>12</v>
      </c>
      <c r="C18" s="11" t="s">
        <v>13</v>
      </c>
    </row>
    <row r="19" customFormat="false" ht="9.75" hidden="false" customHeight="true" outlineLevel="0" collapsed="false"/>
    <row r="20" customFormat="false" ht="18" hidden="false" customHeight="true" outlineLevel="0" collapsed="false">
      <c r="B20" s="12" t="s">
        <v>14</v>
      </c>
      <c r="C20" s="12" t="s">
        <v>15</v>
      </c>
    </row>
    <row r="21" customFormat="false" ht="18" hidden="false" customHeight="true" outlineLevel="0" collapsed="false">
      <c r="B21" s="13" t="s">
        <v>16</v>
      </c>
      <c r="C21" s="14" t="s">
        <v>17</v>
      </c>
    </row>
    <row r="22" customFormat="false" ht="18" hidden="false" customHeight="true" outlineLevel="0" collapsed="false">
      <c r="B22" s="15" t="s">
        <v>18</v>
      </c>
      <c r="C22" s="16" t="s">
        <v>19</v>
      </c>
    </row>
    <row r="23" customFormat="false" ht="18" hidden="false" customHeight="true" outlineLevel="0" collapsed="false">
      <c r="B23" s="13" t="s">
        <v>20</v>
      </c>
      <c r="C23" s="14" t="s">
        <v>5</v>
      </c>
    </row>
    <row r="24" customFormat="false" ht="18" hidden="false" customHeight="true" outlineLevel="0" collapsed="false">
      <c r="B24" s="15" t="s">
        <v>21</v>
      </c>
      <c r="C24" s="16" t="s">
        <v>22</v>
      </c>
    </row>
    <row r="25" customFormat="false" ht="18" hidden="false" customHeight="true" outlineLevel="0" collapsed="false">
      <c r="B25" s="13" t="s">
        <v>23</v>
      </c>
      <c r="C25" s="14" t="s">
        <v>24</v>
      </c>
    </row>
    <row r="26" customFormat="false" ht="18" hidden="false" customHeight="true" outlineLevel="0" collapsed="false">
      <c r="B26" s="15" t="s">
        <v>25</v>
      </c>
      <c r="C26" s="16" t="s">
        <v>26</v>
      </c>
    </row>
    <row r="27" customFormat="false" ht="18" hidden="false" customHeight="true" outlineLevel="0" collapsed="false">
      <c r="B27" s="13" t="s">
        <v>8</v>
      </c>
      <c r="C27" s="14" t="s">
        <v>9</v>
      </c>
    </row>
    <row r="28" customFormat="false" ht="18" hidden="false" customHeight="true" outlineLevel="0" collapsed="false">
      <c r="B28" s="15" t="s">
        <v>12</v>
      </c>
      <c r="C28" s="16" t="s">
        <v>13</v>
      </c>
    </row>
    <row r="29" customFormat="false" ht="18" hidden="false" customHeight="true" outlineLevel="0" collapsed="false">
      <c r="B29" s="13" t="s">
        <v>27</v>
      </c>
      <c r="C29" s="14" t="s">
        <v>28</v>
      </c>
    </row>
    <row r="30" customFormat="false" ht="18" hidden="false" customHeight="true" outlineLevel="0" collapsed="false">
      <c r="B30" s="15" t="s">
        <v>29</v>
      </c>
      <c r="C30" s="16" t="s">
        <v>30</v>
      </c>
    </row>
    <row r="31" customFormat="false" ht="18" hidden="false" customHeight="true" outlineLevel="0" collapsed="false">
      <c r="B31" s="13" t="s">
        <v>31</v>
      </c>
      <c r="C31" s="14" t="s">
        <v>32</v>
      </c>
    </row>
    <row r="32" customFormat="false" ht="18" hidden="false" customHeight="true" outlineLevel="0" collapsed="false"/>
    <row r="33" customFormat="false" ht="36" hidden="false" customHeight="true" outlineLevel="0" collapsed="false">
      <c r="B33" s="17" t="s">
        <v>33</v>
      </c>
      <c r="C33" s="17"/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</sheetData>
  <mergeCells count="10">
    <mergeCell ref="B2:C3"/>
    <mergeCell ref="B4:C4"/>
    <mergeCell ref="B5:C5"/>
    <mergeCell ref="B8:C8"/>
    <mergeCell ref="B9:C9"/>
    <mergeCell ref="B11:C11"/>
    <mergeCell ref="B12:C12"/>
    <mergeCell ref="B13:C13"/>
    <mergeCell ref="B14:C14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4"/>
  </cols>
  <sheetData>
    <row r="1" customFormat="false" ht="27.75" hidden="false" customHeight="true" outlineLevel="0" collapsed="false">
      <c r="B1" s="18" t="s">
        <v>34</v>
      </c>
      <c r="C1" s="18"/>
      <c r="D1" s="18"/>
      <c r="E1" s="18"/>
    </row>
    <row r="2" customFormat="false" ht="18" hidden="false" customHeight="true" outlineLevel="0" collapsed="false">
      <c r="B2" s="18"/>
      <c r="C2" s="18"/>
      <c r="D2" s="18"/>
      <c r="E2" s="18"/>
    </row>
    <row r="3" customFormat="false" ht="18" hidden="false" customHeight="true" outlineLevel="0" collapsed="false">
      <c r="B3" s="19" t="s">
        <v>35</v>
      </c>
      <c r="C3" s="19"/>
      <c r="D3" s="19"/>
      <c r="E3" s="19"/>
    </row>
    <row r="4" customFormat="false" ht="9.75" hidden="false" customHeight="true" outlineLevel="0" collapsed="false"/>
    <row r="5" customFormat="false" ht="18" hidden="false" customHeight="true" outlineLevel="0" collapsed="false">
      <c r="B5" s="20" t="s">
        <v>36</v>
      </c>
      <c r="C5" s="20"/>
      <c r="D5" s="20"/>
      <c r="E5" s="20"/>
    </row>
    <row r="6" customFormat="false" ht="19.5" hidden="false" customHeight="true" outlineLevel="0" collapsed="false">
      <c r="B6" s="15" t="s">
        <v>37</v>
      </c>
      <c r="C6" s="21" t="s">
        <v>38</v>
      </c>
      <c r="D6" s="21"/>
      <c r="E6" s="21"/>
    </row>
    <row r="7" customFormat="false" ht="19.5" hidden="false" customHeight="true" outlineLevel="0" collapsed="false">
      <c r="B7" s="15" t="s">
        <v>39</v>
      </c>
      <c r="C7" s="21" t="s">
        <v>40</v>
      </c>
      <c r="D7" s="21"/>
      <c r="E7" s="21"/>
    </row>
    <row r="8" customFormat="false" ht="19.5" hidden="false" customHeight="true" outlineLevel="0" collapsed="false">
      <c r="B8" s="15" t="s">
        <v>41</v>
      </c>
      <c r="C8" s="21" t="s">
        <v>42</v>
      </c>
      <c r="D8" s="21"/>
      <c r="E8" s="21"/>
    </row>
    <row r="9" customFormat="false" ht="19.5" hidden="false" customHeight="true" outlineLevel="0" collapsed="false">
      <c r="B9" s="15" t="s">
        <v>43</v>
      </c>
      <c r="C9" s="21" t="s">
        <v>44</v>
      </c>
      <c r="D9" s="21"/>
      <c r="E9" s="21"/>
    </row>
    <row r="10" customFormat="false" ht="9.75" hidden="false" customHeight="true" outlineLevel="0" collapsed="false"/>
    <row r="11" customFormat="false" ht="18" hidden="false" customHeight="true" outlineLevel="0" collapsed="false">
      <c r="B11" s="20" t="s">
        <v>45</v>
      </c>
      <c r="C11" s="20"/>
      <c r="D11" s="20"/>
      <c r="E11" s="20"/>
    </row>
    <row r="12" customFormat="false" ht="18" hidden="false" customHeight="true" outlineLevel="0" collapsed="false">
      <c r="B12" s="22" t="s">
        <v>46</v>
      </c>
      <c r="C12" s="22" t="s">
        <v>47</v>
      </c>
      <c r="D12" s="22" t="s">
        <v>48</v>
      </c>
      <c r="E12" s="22" t="s">
        <v>49</v>
      </c>
    </row>
    <row r="13" customFormat="false" ht="21.75" hidden="false" customHeight="true" outlineLevel="0" collapsed="false">
      <c r="B13" s="15" t="s">
        <v>50</v>
      </c>
      <c r="C13" s="23" t="s">
        <v>51</v>
      </c>
      <c r="D13" s="24" t="s">
        <v>52</v>
      </c>
      <c r="E13" s="25" t="s">
        <v>53</v>
      </c>
    </row>
    <row r="14" customFormat="false" ht="21.75" hidden="false" customHeight="true" outlineLevel="0" collapsed="false">
      <c r="B14" s="13" t="s">
        <v>54</v>
      </c>
      <c r="C14" s="26" t="s">
        <v>55</v>
      </c>
      <c r="D14" s="27" t="s">
        <v>56</v>
      </c>
      <c r="E14" s="28" t="s">
        <v>57</v>
      </c>
    </row>
    <row r="15" customFormat="false" ht="21.75" hidden="false" customHeight="true" outlineLevel="0" collapsed="false">
      <c r="B15" s="15" t="s">
        <v>58</v>
      </c>
      <c r="C15" s="23" t="s">
        <v>59</v>
      </c>
      <c r="D15" s="24" t="s">
        <v>60</v>
      </c>
      <c r="E15" s="25" t="s">
        <v>61</v>
      </c>
    </row>
    <row r="16" customFormat="false" ht="21.75" hidden="false" customHeight="true" outlineLevel="0" collapsed="false">
      <c r="B16" s="13" t="s">
        <v>62</v>
      </c>
      <c r="C16" s="26" t="s">
        <v>63</v>
      </c>
      <c r="D16" s="27" t="s">
        <v>64</v>
      </c>
      <c r="E16" s="28" t="s">
        <v>65</v>
      </c>
    </row>
    <row r="17" customFormat="false" ht="21.75" hidden="false" customHeight="true" outlineLevel="0" collapsed="false">
      <c r="B17" s="15" t="s">
        <v>66</v>
      </c>
      <c r="C17" s="23" t="s">
        <v>67</v>
      </c>
      <c r="D17" s="24" t="s">
        <v>68</v>
      </c>
      <c r="E17" s="25" t="s">
        <v>69</v>
      </c>
    </row>
    <row r="18" customFormat="false" ht="9.75" hidden="false" customHeight="true" outlineLevel="0" collapsed="false"/>
    <row r="19" customFormat="false" ht="18" hidden="false" customHeight="true" outlineLevel="0" collapsed="false">
      <c r="B19" s="20" t="s">
        <v>70</v>
      </c>
      <c r="C19" s="20"/>
      <c r="D19" s="20"/>
      <c r="E19" s="20"/>
    </row>
    <row r="20" customFormat="false" ht="18" hidden="false" customHeight="true" outlineLevel="0" collapsed="false">
      <c r="B20" s="22" t="s">
        <v>46</v>
      </c>
      <c r="C20" s="22" t="s">
        <v>47</v>
      </c>
      <c r="D20" s="22" t="s">
        <v>48</v>
      </c>
      <c r="E20" s="22" t="s">
        <v>71</v>
      </c>
    </row>
    <row r="21" customFormat="false" ht="21.75" hidden="false" customHeight="true" outlineLevel="0" collapsed="false">
      <c r="B21" s="15" t="s">
        <v>72</v>
      </c>
      <c r="C21" s="23" t="s">
        <v>51</v>
      </c>
      <c r="D21" s="24" t="s">
        <v>73</v>
      </c>
      <c r="E21" s="29" t="s">
        <v>74</v>
      </c>
    </row>
    <row r="22" customFormat="false" ht="21.75" hidden="false" customHeight="true" outlineLevel="0" collapsed="false">
      <c r="B22" s="13" t="s">
        <v>75</v>
      </c>
      <c r="C22" s="26" t="s">
        <v>55</v>
      </c>
      <c r="D22" s="27" t="s">
        <v>76</v>
      </c>
      <c r="E22" s="30" t="s">
        <v>77</v>
      </c>
    </row>
    <row r="23" customFormat="false" ht="21.75" hidden="false" customHeight="true" outlineLevel="0" collapsed="false">
      <c r="B23" s="15" t="s">
        <v>78</v>
      </c>
      <c r="C23" s="23" t="s">
        <v>59</v>
      </c>
      <c r="D23" s="24" t="s">
        <v>79</v>
      </c>
      <c r="E23" s="29" t="s">
        <v>80</v>
      </c>
    </row>
    <row r="24" customFormat="false" ht="21.75" hidden="false" customHeight="true" outlineLevel="0" collapsed="false">
      <c r="B24" s="13" t="s">
        <v>81</v>
      </c>
      <c r="C24" s="26" t="s">
        <v>63</v>
      </c>
      <c r="D24" s="27" t="s">
        <v>82</v>
      </c>
      <c r="E24" s="30" t="s">
        <v>83</v>
      </c>
    </row>
    <row r="25" customFormat="false" ht="21.75" hidden="false" customHeight="true" outlineLevel="0" collapsed="false">
      <c r="B25" s="15" t="s">
        <v>84</v>
      </c>
      <c r="C25" s="23" t="s">
        <v>67</v>
      </c>
      <c r="D25" s="24" t="s">
        <v>85</v>
      </c>
      <c r="E25" s="29" t="s">
        <v>86</v>
      </c>
    </row>
    <row r="26" customFormat="false" ht="9.75" hidden="false" customHeight="true" outlineLevel="0" collapsed="false"/>
    <row r="27" customFormat="false" ht="18" hidden="false" customHeight="true" outlineLevel="0" collapsed="false">
      <c r="B27" s="20" t="s">
        <v>87</v>
      </c>
      <c r="C27" s="20"/>
      <c r="D27" s="20"/>
      <c r="E27" s="20"/>
    </row>
    <row r="28" customFormat="false" ht="18" hidden="false" customHeight="true" outlineLevel="0" collapsed="false">
      <c r="B28" s="22" t="s">
        <v>46</v>
      </c>
      <c r="C28" s="22" t="s">
        <v>41</v>
      </c>
      <c r="D28" s="22" t="s">
        <v>48</v>
      </c>
      <c r="E28" s="22" t="s">
        <v>88</v>
      </c>
    </row>
    <row r="29" customFormat="false" ht="21.75" hidden="false" customHeight="true" outlineLevel="0" collapsed="false">
      <c r="B29" s="31" t="s">
        <v>84</v>
      </c>
      <c r="C29" s="32" t="s">
        <v>89</v>
      </c>
      <c r="D29" s="33" t="s">
        <v>90</v>
      </c>
      <c r="E29" s="34" t="s">
        <v>91</v>
      </c>
    </row>
    <row r="30" customFormat="false" ht="21.75" hidden="false" customHeight="true" outlineLevel="0" collapsed="false">
      <c r="B30" s="35" t="s">
        <v>62</v>
      </c>
      <c r="C30" s="36" t="s">
        <v>92</v>
      </c>
      <c r="D30" s="37" t="s">
        <v>93</v>
      </c>
      <c r="E30" s="38" t="s">
        <v>94</v>
      </c>
    </row>
    <row r="31" customFormat="false" ht="21.75" hidden="false" customHeight="true" outlineLevel="0" collapsed="false">
      <c r="B31" s="39" t="s">
        <v>58</v>
      </c>
      <c r="C31" s="40" t="s">
        <v>95</v>
      </c>
      <c r="D31" s="41" t="s">
        <v>96</v>
      </c>
      <c r="E31" s="42" t="s">
        <v>97</v>
      </c>
    </row>
    <row r="32" customFormat="false" ht="21.75" hidden="false" customHeight="true" outlineLevel="0" collapsed="false">
      <c r="B32" s="43" t="s">
        <v>54</v>
      </c>
      <c r="C32" s="44" t="s">
        <v>98</v>
      </c>
      <c r="D32" s="45" t="s">
        <v>99</v>
      </c>
      <c r="E32" s="46" t="s">
        <v>100</v>
      </c>
    </row>
    <row r="33" customFormat="false" ht="9.75" hidden="false" customHeight="true" outlineLevel="0" collapsed="false"/>
    <row r="34" customFormat="false" ht="18" hidden="false" customHeight="true" outlineLevel="0" collapsed="false">
      <c r="B34" s="20" t="s">
        <v>101</v>
      </c>
      <c r="C34" s="20"/>
      <c r="D34" s="20"/>
      <c r="E34" s="20"/>
    </row>
    <row r="35" customFormat="false" ht="18" hidden="false" customHeight="true" outlineLevel="0" collapsed="false">
      <c r="B35" s="22" t="s">
        <v>102</v>
      </c>
      <c r="C35" s="22" t="s">
        <v>103</v>
      </c>
      <c r="D35" s="22" t="s">
        <v>48</v>
      </c>
      <c r="E35" s="22" t="s">
        <v>104</v>
      </c>
    </row>
    <row r="36" customFormat="false" ht="21.75" hidden="false" customHeight="true" outlineLevel="0" collapsed="false">
      <c r="B36" s="15" t="s">
        <v>105</v>
      </c>
      <c r="C36" s="23" t="s">
        <v>106</v>
      </c>
      <c r="D36" s="24" t="s">
        <v>107</v>
      </c>
      <c r="E36" s="29" t="s">
        <v>108</v>
      </c>
    </row>
    <row r="37" customFormat="false" ht="21.75" hidden="false" customHeight="true" outlineLevel="0" collapsed="false">
      <c r="B37" s="13" t="s">
        <v>109</v>
      </c>
      <c r="C37" s="26" t="s">
        <v>110</v>
      </c>
      <c r="D37" s="27" t="s">
        <v>111</v>
      </c>
      <c r="E37" s="30" t="s">
        <v>112</v>
      </c>
    </row>
    <row r="38" customFormat="false" ht="21.75" hidden="false" customHeight="true" outlineLevel="0" collapsed="false">
      <c r="B38" s="15" t="s">
        <v>113</v>
      </c>
      <c r="C38" s="23" t="s">
        <v>114</v>
      </c>
      <c r="D38" s="24" t="s">
        <v>115</v>
      </c>
      <c r="E38" s="29" t="s">
        <v>116</v>
      </c>
    </row>
    <row r="39" customFormat="false" ht="21.75" hidden="false" customHeight="true" outlineLevel="0" collapsed="false">
      <c r="B39" s="13" t="s">
        <v>117</v>
      </c>
      <c r="C39" s="26" t="s">
        <v>118</v>
      </c>
      <c r="D39" s="27" t="s">
        <v>119</v>
      </c>
      <c r="E39" s="30" t="s">
        <v>120</v>
      </c>
    </row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11">
    <mergeCell ref="B1:E2"/>
    <mergeCell ref="B3:E3"/>
    <mergeCell ref="B5:E5"/>
    <mergeCell ref="C6:E6"/>
    <mergeCell ref="C7:E7"/>
    <mergeCell ref="C8:E8"/>
    <mergeCell ref="C9:E9"/>
    <mergeCell ref="B11:E11"/>
    <mergeCell ref="B19:E19"/>
    <mergeCell ref="B27:E27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7" min="6" style="0" width="6"/>
    <col collapsed="false" customWidth="true" hidden="false" outlineLevel="0" max="8" min="8" style="0" width="8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13" min="12" style="0" width="6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22"/>
  </cols>
  <sheetData>
    <row r="1" customFormat="false" ht="25.5" hidden="false" customHeight="true" outlineLevel="0" collapsed="false">
      <c r="A1" s="47" t="s">
        <v>121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 t="s">
        <v>30</v>
      </c>
      <c r="P1" s="48"/>
      <c r="Q1" s="48"/>
      <c r="R1" s="48"/>
    </row>
    <row r="2" customFormat="false" ht="19.5" hidden="false" customHeight="true" outlineLevel="0" collapsed="false">
      <c r="A2" s="49" t="s">
        <v>122</v>
      </c>
      <c r="B2" s="50" t="s">
        <v>123</v>
      </c>
      <c r="C2" s="50"/>
      <c r="D2" s="50"/>
      <c r="E2" s="50"/>
      <c r="F2" s="51" t="s">
        <v>124</v>
      </c>
      <c r="G2" s="51"/>
      <c r="H2" s="51"/>
      <c r="I2" s="51"/>
      <c r="J2" s="50" t="s">
        <v>125</v>
      </c>
      <c r="K2" s="50"/>
      <c r="L2" s="51" t="s">
        <v>126</v>
      </c>
      <c r="M2" s="51"/>
      <c r="N2" s="51"/>
      <c r="O2" s="51"/>
      <c r="P2" s="50" t="s">
        <v>127</v>
      </c>
      <c r="Q2" s="50"/>
      <c r="R2" s="50"/>
    </row>
    <row r="3" customFormat="false" ht="39.75" hidden="false" customHeight="true" outlineLevel="0" collapsed="false">
      <c r="A3" s="52" t="s">
        <v>128</v>
      </c>
      <c r="B3" s="52" t="s">
        <v>129</v>
      </c>
      <c r="C3" s="52" t="s">
        <v>130</v>
      </c>
      <c r="D3" s="52" t="s">
        <v>131</v>
      </c>
      <c r="E3" s="52" t="s">
        <v>132</v>
      </c>
      <c r="F3" s="52" t="s">
        <v>133</v>
      </c>
      <c r="G3" s="52" t="s">
        <v>134</v>
      </c>
      <c r="H3" s="52" t="s">
        <v>47</v>
      </c>
      <c r="I3" s="52" t="s">
        <v>46</v>
      </c>
      <c r="J3" s="52" t="s">
        <v>102</v>
      </c>
      <c r="K3" s="52" t="s">
        <v>135</v>
      </c>
      <c r="L3" s="52" t="s">
        <v>136</v>
      </c>
      <c r="M3" s="52" t="s">
        <v>137</v>
      </c>
      <c r="N3" s="52" t="s">
        <v>47</v>
      </c>
      <c r="O3" s="52" t="s">
        <v>46</v>
      </c>
      <c r="P3" s="52" t="s">
        <v>138</v>
      </c>
      <c r="Q3" s="52" t="s">
        <v>139</v>
      </c>
      <c r="R3" s="52" t="s">
        <v>31</v>
      </c>
    </row>
    <row r="4" customFormat="false" ht="43.5" hidden="false" customHeight="true" outlineLevel="0" collapsed="false">
      <c r="A4" s="53" t="s">
        <v>140</v>
      </c>
      <c r="B4" s="54" t="s">
        <v>141</v>
      </c>
      <c r="C4" s="55" t="s">
        <v>142</v>
      </c>
      <c r="D4" s="55" t="s">
        <v>143</v>
      </c>
      <c r="E4" s="55" t="s">
        <v>144</v>
      </c>
      <c r="F4" s="56" t="n">
        <v>4</v>
      </c>
      <c r="G4" s="56" t="n">
        <v>5</v>
      </c>
      <c r="H4" s="57" t="n">
        <f aca="false">F4*G4</f>
        <v>20</v>
      </c>
      <c r="I4" s="58" t="s">
        <v>84</v>
      </c>
      <c r="J4" s="59" t="s">
        <v>105</v>
      </c>
      <c r="K4" s="60" t="s">
        <v>145</v>
      </c>
      <c r="L4" s="56" t="n">
        <v>2</v>
      </c>
      <c r="M4" s="56" t="n">
        <v>3</v>
      </c>
      <c r="N4" s="61" t="n">
        <f aca="false">L4*M4</f>
        <v>6</v>
      </c>
      <c r="O4" s="62" t="s">
        <v>58</v>
      </c>
      <c r="P4" s="55" t="s">
        <v>146</v>
      </c>
      <c r="Q4" s="56" t="s">
        <v>147</v>
      </c>
      <c r="R4" s="63" t="s">
        <v>148</v>
      </c>
    </row>
    <row r="5" customFormat="false" ht="43.5" hidden="false" customHeight="true" outlineLevel="0" collapsed="false">
      <c r="A5" s="53" t="s">
        <v>149</v>
      </c>
      <c r="B5" s="54" t="s">
        <v>141</v>
      </c>
      <c r="C5" s="55" t="s">
        <v>150</v>
      </c>
      <c r="D5" s="55" t="s">
        <v>151</v>
      </c>
      <c r="E5" s="55" t="s">
        <v>152</v>
      </c>
      <c r="F5" s="56" t="n">
        <v>4</v>
      </c>
      <c r="G5" s="56" t="n">
        <v>4</v>
      </c>
      <c r="H5" s="64" t="n">
        <f aca="false">F5*G5</f>
        <v>16</v>
      </c>
      <c r="I5" s="65" t="s">
        <v>62</v>
      </c>
      <c r="J5" s="59" t="s">
        <v>105</v>
      </c>
      <c r="K5" s="60" t="s">
        <v>153</v>
      </c>
      <c r="L5" s="56" t="n">
        <v>2</v>
      </c>
      <c r="M5" s="56" t="n">
        <v>3</v>
      </c>
      <c r="N5" s="61" t="n">
        <f aca="false">L5*M5</f>
        <v>6</v>
      </c>
      <c r="O5" s="62" t="s">
        <v>58</v>
      </c>
      <c r="P5" s="55" t="s">
        <v>154</v>
      </c>
      <c r="Q5" s="56" t="s">
        <v>147</v>
      </c>
      <c r="R5" s="63" t="s">
        <v>148</v>
      </c>
    </row>
    <row r="6" customFormat="false" ht="43.5" hidden="false" customHeight="true" outlineLevel="0" collapsed="false">
      <c r="A6" s="53" t="s">
        <v>155</v>
      </c>
      <c r="B6" s="54" t="s">
        <v>141</v>
      </c>
      <c r="C6" s="55" t="s">
        <v>156</v>
      </c>
      <c r="D6" s="55" t="s">
        <v>157</v>
      </c>
      <c r="E6" s="55" t="s">
        <v>158</v>
      </c>
      <c r="F6" s="56" t="n">
        <v>4</v>
      </c>
      <c r="G6" s="56" t="n">
        <v>5</v>
      </c>
      <c r="H6" s="57" t="n">
        <f aca="false">F6*G6</f>
        <v>20</v>
      </c>
      <c r="I6" s="58" t="s">
        <v>84</v>
      </c>
      <c r="J6" s="59" t="s">
        <v>105</v>
      </c>
      <c r="K6" s="60" t="s">
        <v>159</v>
      </c>
      <c r="L6" s="56" t="n">
        <v>2</v>
      </c>
      <c r="M6" s="56" t="n">
        <v>3</v>
      </c>
      <c r="N6" s="61" t="n">
        <f aca="false">L6*M6</f>
        <v>6</v>
      </c>
      <c r="O6" s="62" t="s">
        <v>58</v>
      </c>
      <c r="P6" s="55" t="s">
        <v>146</v>
      </c>
      <c r="Q6" s="56" t="s">
        <v>147</v>
      </c>
      <c r="R6" s="63" t="s">
        <v>148</v>
      </c>
    </row>
    <row r="7" customFormat="false" ht="43.5" hidden="false" customHeight="true" outlineLevel="0" collapsed="false">
      <c r="A7" s="53" t="s">
        <v>160</v>
      </c>
      <c r="B7" s="54" t="s">
        <v>141</v>
      </c>
      <c r="C7" s="55" t="s">
        <v>161</v>
      </c>
      <c r="D7" s="55" t="s">
        <v>162</v>
      </c>
      <c r="E7" s="55" t="s">
        <v>163</v>
      </c>
      <c r="F7" s="56" t="n">
        <v>4</v>
      </c>
      <c r="G7" s="56" t="n">
        <v>4</v>
      </c>
      <c r="H7" s="64" t="n">
        <f aca="false">F7*G7</f>
        <v>16</v>
      </c>
      <c r="I7" s="65" t="s">
        <v>62</v>
      </c>
      <c r="J7" s="59" t="s">
        <v>105</v>
      </c>
      <c r="K7" s="60" t="s">
        <v>164</v>
      </c>
      <c r="L7" s="56" t="n">
        <v>2</v>
      </c>
      <c r="M7" s="56" t="n">
        <v>2</v>
      </c>
      <c r="N7" s="66" t="n">
        <f aca="false">L7*M7</f>
        <v>4</v>
      </c>
      <c r="O7" s="67" t="s">
        <v>54</v>
      </c>
      <c r="P7" s="55" t="s">
        <v>154</v>
      </c>
      <c r="Q7" s="56" t="s">
        <v>165</v>
      </c>
      <c r="R7" s="63" t="s">
        <v>148</v>
      </c>
    </row>
    <row r="8" customFormat="false" ht="43.5" hidden="false" customHeight="true" outlineLevel="0" collapsed="false">
      <c r="A8" s="68" t="s">
        <v>166</v>
      </c>
      <c r="B8" s="69" t="s">
        <v>167</v>
      </c>
      <c r="C8" s="70" t="s">
        <v>168</v>
      </c>
      <c r="D8" s="70" t="s">
        <v>169</v>
      </c>
      <c r="E8" s="70" t="s">
        <v>170</v>
      </c>
      <c r="F8" s="71" t="n">
        <v>4</v>
      </c>
      <c r="G8" s="71" t="n">
        <v>5</v>
      </c>
      <c r="H8" s="57" t="n">
        <f aca="false">F8*G8</f>
        <v>20</v>
      </c>
      <c r="I8" s="58" t="s">
        <v>84</v>
      </c>
      <c r="J8" s="59" t="s">
        <v>105</v>
      </c>
      <c r="K8" s="72" t="s">
        <v>171</v>
      </c>
      <c r="L8" s="71" t="n">
        <v>2</v>
      </c>
      <c r="M8" s="71" t="n">
        <v>3</v>
      </c>
      <c r="N8" s="61" t="n">
        <f aca="false">L8*M8</f>
        <v>6</v>
      </c>
      <c r="O8" s="62" t="s">
        <v>58</v>
      </c>
      <c r="P8" s="70" t="s">
        <v>154</v>
      </c>
      <c r="Q8" s="71" t="s">
        <v>172</v>
      </c>
      <c r="R8" s="73" t="s">
        <v>148</v>
      </c>
    </row>
    <row r="9" customFormat="false" ht="43.5" hidden="false" customHeight="true" outlineLevel="0" collapsed="false">
      <c r="A9" s="68" t="s">
        <v>173</v>
      </c>
      <c r="B9" s="69" t="s">
        <v>167</v>
      </c>
      <c r="C9" s="70" t="s">
        <v>174</v>
      </c>
      <c r="D9" s="70" t="s">
        <v>175</v>
      </c>
      <c r="E9" s="70" t="s">
        <v>176</v>
      </c>
      <c r="F9" s="71" t="n">
        <v>5</v>
      </c>
      <c r="G9" s="71" t="n">
        <v>5</v>
      </c>
      <c r="H9" s="57" t="n">
        <f aca="false">F9*G9</f>
        <v>25</v>
      </c>
      <c r="I9" s="58" t="s">
        <v>84</v>
      </c>
      <c r="J9" s="59" t="s">
        <v>105</v>
      </c>
      <c r="K9" s="72" t="s">
        <v>177</v>
      </c>
      <c r="L9" s="71" t="n">
        <v>1</v>
      </c>
      <c r="M9" s="71" t="n">
        <v>3</v>
      </c>
      <c r="N9" s="66" t="n">
        <f aca="false">L9*M9</f>
        <v>3</v>
      </c>
      <c r="O9" s="67" t="s">
        <v>54</v>
      </c>
      <c r="P9" s="70" t="s">
        <v>154</v>
      </c>
      <c r="Q9" s="74" t="s">
        <v>178</v>
      </c>
      <c r="R9" s="75" t="s">
        <v>179</v>
      </c>
    </row>
    <row r="10" customFormat="false" ht="43.5" hidden="false" customHeight="true" outlineLevel="0" collapsed="false">
      <c r="A10" s="68" t="s">
        <v>180</v>
      </c>
      <c r="B10" s="69" t="s">
        <v>167</v>
      </c>
      <c r="C10" s="70" t="s">
        <v>181</v>
      </c>
      <c r="D10" s="70" t="s">
        <v>182</v>
      </c>
      <c r="E10" s="70" t="s">
        <v>183</v>
      </c>
      <c r="F10" s="71" t="n">
        <v>3</v>
      </c>
      <c r="G10" s="71" t="n">
        <v>4</v>
      </c>
      <c r="H10" s="64" t="n">
        <f aca="false">F10*G10</f>
        <v>12</v>
      </c>
      <c r="I10" s="65" t="s">
        <v>62</v>
      </c>
      <c r="J10" s="59" t="s">
        <v>105</v>
      </c>
      <c r="K10" s="72" t="s">
        <v>184</v>
      </c>
      <c r="L10" s="71" t="n">
        <v>2</v>
      </c>
      <c r="M10" s="71" t="n">
        <v>3</v>
      </c>
      <c r="N10" s="61" t="n">
        <f aca="false">L10*M10</f>
        <v>6</v>
      </c>
      <c r="O10" s="62" t="s">
        <v>58</v>
      </c>
      <c r="P10" s="70" t="s">
        <v>154</v>
      </c>
      <c r="Q10" s="71" t="s">
        <v>185</v>
      </c>
      <c r="R10" s="73" t="s">
        <v>148</v>
      </c>
    </row>
    <row r="11" customFormat="false" ht="43.5" hidden="false" customHeight="true" outlineLevel="0" collapsed="false">
      <c r="A11" s="68" t="s">
        <v>186</v>
      </c>
      <c r="B11" s="69" t="s">
        <v>167</v>
      </c>
      <c r="C11" s="70" t="s">
        <v>187</v>
      </c>
      <c r="D11" s="70" t="s">
        <v>188</v>
      </c>
      <c r="E11" s="70" t="s">
        <v>189</v>
      </c>
      <c r="F11" s="71" t="n">
        <v>3</v>
      </c>
      <c r="G11" s="71" t="n">
        <v>5</v>
      </c>
      <c r="H11" s="64" t="n">
        <f aca="false">F11*G11</f>
        <v>15</v>
      </c>
      <c r="I11" s="65" t="s">
        <v>62</v>
      </c>
      <c r="J11" s="59" t="s">
        <v>105</v>
      </c>
      <c r="K11" s="72" t="s">
        <v>190</v>
      </c>
      <c r="L11" s="71" t="n">
        <v>1</v>
      </c>
      <c r="M11" s="71" t="n">
        <v>4</v>
      </c>
      <c r="N11" s="66" t="n">
        <f aca="false">L11*M11</f>
        <v>4</v>
      </c>
      <c r="O11" s="67" t="s">
        <v>54</v>
      </c>
      <c r="P11" s="70" t="s">
        <v>154</v>
      </c>
      <c r="Q11" s="71" t="s">
        <v>147</v>
      </c>
      <c r="R11" s="73" t="s">
        <v>148</v>
      </c>
    </row>
    <row r="12" customFormat="false" ht="43.5" hidden="false" customHeight="true" outlineLevel="0" collapsed="false">
      <c r="A12" s="76" t="s">
        <v>191</v>
      </c>
      <c r="B12" s="77" t="s">
        <v>192</v>
      </c>
      <c r="C12" s="78" t="s">
        <v>193</v>
      </c>
      <c r="D12" s="78" t="s">
        <v>194</v>
      </c>
      <c r="E12" s="78" t="s">
        <v>195</v>
      </c>
      <c r="F12" s="79" t="n">
        <v>3</v>
      </c>
      <c r="G12" s="79" t="n">
        <v>5</v>
      </c>
      <c r="H12" s="64" t="n">
        <f aca="false">F12*G12</f>
        <v>15</v>
      </c>
      <c r="I12" s="65" t="s">
        <v>62</v>
      </c>
      <c r="J12" s="59" t="s">
        <v>105</v>
      </c>
      <c r="K12" s="80" t="s">
        <v>196</v>
      </c>
      <c r="L12" s="79" t="n">
        <v>2</v>
      </c>
      <c r="M12" s="79" t="n">
        <v>3</v>
      </c>
      <c r="N12" s="61" t="n">
        <f aca="false">L12*M12</f>
        <v>6</v>
      </c>
      <c r="O12" s="62" t="s">
        <v>58</v>
      </c>
      <c r="P12" s="78" t="s">
        <v>154</v>
      </c>
      <c r="Q12" s="79" t="s">
        <v>197</v>
      </c>
      <c r="R12" s="81" t="s">
        <v>148</v>
      </c>
    </row>
    <row r="13" customFormat="false" ht="43.5" hidden="false" customHeight="true" outlineLevel="0" collapsed="false">
      <c r="A13" s="76" t="s">
        <v>198</v>
      </c>
      <c r="B13" s="77" t="s">
        <v>192</v>
      </c>
      <c r="C13" s="78" t="s">
        <v>199</v>
      </c>
      <c r="D13" s="78" t="s">
        <v>200</v>
      </c>
      <c r="E13" s="78" t="s">
        <v>201</v>
      </c>
      <c r="F13" s="79" t="n">
        <v>3</v>
      </c>
      <c r="G13" s="79" t="n">
        <v>4</v>
      </c>
      <c r="H13" s="64" t="n">
        <f aca="false">F13*G13</f>
        <v>12</v>
      </c>
      <c r="I13" s="65" t="s">
        <v>62</v>
      </c>
      <c r="J13" s="59" t="s">
        <v>105</v>
      </c>
      <c r="K13" s="80" t="s">
        <v>202</v>
      </c>
      <c r="L13" s="79" t="n">
        <v>2</v>
      </c>
      <c r="M13" s="79" t="n">
        <v>3</v>
      </c>
      <c r="N13" s="61" t="n">
        <f aca="false">L13*M13</f>
        <v>6</v>
      </c>
      <c r="O13" s="62" t="s">
        <v>58</v>
      </c>
      <c r="P13" s="78" t="s">
        <v>154</v>
      </c>
      <c r="Q13" s="79" t="s">
        <v>185</v>
      </c>
      <c r="R13" s="81" t="s">
        <v>148</v>
      </c>
    </row>
    <row r="14" customFormat="false" ht="43.5" hidden="false" customHeight="true" outlineLevel="0" collapsed="false">
      <c r="A14" s="76" t="s">
        <v>203</v>
      </c>
      <c r="B14" s="77" t="s">
        <v>192</v>
      </c>
      <c r="C14" s="78" t="s">
        <v>204</v>
      </c>
      <c r="D14" s="78" t="s">
        <v>205</v>
      </c>
      <c r="E14" s="78" t="s">
        <v>206</v>
      </c>
      <c r="F14" s="79" t="n">
        <v>2</v>
      </c>
      <c r="G14" s="79" t="n">
        <v>4</v>
      </c>
      <c r="H14" s="61" t="n">
        <f aca="false">F14*G14</f>
        <v>8</v>
      </c>
      <c r="I14" s="62" t="s">
        <v>58</v>
      </c>
      <c r="J14" s="59" t="s">
        <v>105</v>
      </c>
      <c r="K14" s="80" t="s">
        <v>207</v>
      </c>
      <c r="L14" s="79" t="n">
        <v>1</v>
      </c>
      <c r="M14" s="79" t="n">
        <v>3</v>
      </c>
      <c r="N14" s="66" t="n">
        <f aca="false">L14*M14</f>
        <v>3</v>
      </c>
      <c r="O14" s="67" t="s">
        <v>54</v>
      </c>
      <c r="P14" s="78" t="s">
        <v>208</v>
      </c>
      <c r="Q14" s="79" t="s">
        <v>209</v>
      </c>
      <c r="R14" s="81" t="s">
        <v>148</v>
      </c>
    </row>
    <row r="15" customFormat="false" ht="43.5" hidden="false" customHeight="true" outlineLevel="0" collapsed="false">
      <c r="A15" s="82" t="s">
        <v>210</v>
      </c>
      <c r="B15" s="83" t="s">
        <v>211</v>
      </c>
      <c r="C15" s="84" t="s">
        <v>212</v>
      </c>
      <c r="D15" s="84" t="s">
        <v>213</v>
      </c>
      <c r="E15" s="84" t="s">
        <v>214</v>
      </c>
      <c r="F15" s="85" t="n">
        <v>3</v>
      </c>
      <c r="G15" s="85" t="n">
        <v>5</v>
      </c>
      <c r="H15" s="64" t="n">
        <f aca="false">F15*G15</f>
        <v>15</v>
      </c>
      <c r="I15" s="65" t="s">
        <v>62</v>
      </c>
      <c r="J15" s="59" t="s">
        <v>105</v>
      </c>
      <c r="K15" s="86" t="s">
        <v>215</v>
      </c>
      <c r="L15" s="85" t="n">
        <v>2</v>
      </c>
      <c r="M15" s="85" t="n">
        <v>3</v>
      </c>
      <c r="N15" s="61" t="n">
        <f aca="false">L15*M15</f>
        <v>6</v>
      </c>
      <c r="O15" s="62" t="s">
        <v>58</v>
      </c>
      <c r="P15" s="84" t="s">
        <v>154</v>
      </c>
      <c r="Q15" s="85" t="s">
        <v>185</v>
      </c>
      <c r="R15" s="87" t="s">
        <v>148</v>
      </c>
    </row>
    <row r="16" customFormat="false" ht="43.5" hidden="false" customHeight="true" outlineLevel="0" collapsed="false">
      <c r="A16" s="82" t="s">
        <v>216</v>
      </c>
      <c r="B16" s="83" t="s">
        <v>211</v>
      </c>
      <c r="C16" s="84" t="s">
        <v>217</v>
      </c>
      <c r="D16" s="84" t="s">
        <v>218</v>
      </c>
      <c r="E16" s="84" t="s">
        <v>219</v>
      </c>
      <c r="F16" s="85" t="n">
        <v>3</v>
      </c>
      <c r="G16" s="85" t="n">
        <v>4</v>
      </c>
      <c r="H16" s="64" t="n">
        <f aca="false">F16*G16</f>
        <v>12</v>
      </c>
      <c r="I16" s="65" t="s">
        <v>62</v>
      </c>
      <c r="J16" s="59" t="s">
        <v>105</v>
      </c>
      <c r="K16" s="86" t="s">
        <v>220</v>
      </c>
      <c r="L16" s="85" t="n">
        <v>2</v>
      </c>
      <c r="M16" s="85" t="n">
        <v>3</v>
      </c>
      <c r="N16" s="61" t="n">
        <f aca="false">L16*M16</f>
        <v>6</v>
      </c>
      <c r="O16" s="62" t="s">
        <v>58</v>
      </c>
      <c r="P16" s="84" t="s">
        <v>154</v>
      </c>
      <c r="Q16" s="85" t="s">
        <v>197</v>
      </c>
      <c r="R16" s="87" t="s">
        <v>148</v>
      </c>
    </row>
    <row r="17" customFormat="false" ht="43.5" hidden="false" customHeight="true" outlineLevel="0" collapsed="false">
      <c r="A17" s="82" t="s">
        <v>221</v>
      </c>
      <c r="B17" s="83" t="s">
        <v>211</v>
      </c>
      <c r="C17" s="84" t="s">
        <v>222</v>
      </c>
      <c r="D17" s="84" t="s">
        <v>223</v>
      </c>
      <c r="E17" s="84" t="s">
        <v>224</v>
      </c>
      <c r="F17" s="85" t="n">
        <v>3</v>
      </c>
      <c r="G17" s="85" t="n">
        <v>3</v>
      </c>
      <c r="H17" s="61" t="n">
        <f aca="false">F17*G17</f>
        <v>9</v>
      </c>
      <c r="I17" s="62" t="s">
        <v>58</v>
      </c>
      <c r="J17" s="59" t="s">
        <v>105</v>
      </c>
      <c r="K17" s="86" t="s">
        <v>225</v>
      </c>
      <c r="L17" s="85" t="n">
        <v>2</v>
      </c>
      <c r="M17" s="85" t="n">
        <v>2</v>
      </c>
      <c r="N17" s="66" t="n">
        <f aca="false">L17*M17</f>
        <v>4</v>
      </c>
      <c r="O17" s="67" t="s">
        <v>54</v>
      </c>
      <c r="P17" s="84" t="s">
        <v>154</v>
      </c>
      <c r="Q17" s="85" t="s">
        <v>209</v>
      </c>
      <c r="R17" s="87" t="s">
        <v>148</v>
      </c>
    </row>
    <row r="18" customFormat="false" ht="43.5" hidden="false" customHeight="true" outlineLevel="0" collapsed="false">
      <c r="A18" s="88" t="s">
        <v>226</v>
      </c>
      <c r="B18" s="89" t="s">
        <v>227</v>
      </c>
      <c r="C18" s="90" t="s">
        <v>228</v>
      </c>
      <c r="D18" s="90" t="s">
        <v>229</v>
      </c>
      <c r="E18" s="90" t="s">
        <v>230</v>
      </c>
      <c r="F18" s="91" t="n">
        <v>4</v>
      </c>
      <c r="G18" s="91" t="n">
        <v>4</v>
      </c>
      <c r="H18" s="64" t="n">
        <f aca="false">F18*G18</f>
        <v>16</v>
      </c>
      <c r="I18" s="65" t="s">
        <v>62</v>
      </c>
      <c r="J18" s="59" t="s">
        <v>105</v>
      </c>
      <c r="K18" s="92" t="s">
        <v>231</v>
      </c>
      <c r="L18" s="91" t="n">
        <v>2</v>
      </c>
      <c r="M18" s="91" t="n">
        <v>3</v>
      </c>
      <c r="N18" s="61" t="n">
        <f aca="false">L18*M18</f>
        <v>6</v>
      </c>
      <c r="O18" s="62" t="s">
        <v>58</v>
      </c>
      <c r="P18" s="90" t="s">
        <v>232</v>
      </c>
      <c r="Q18" s="91" t="s">
        <v>185</v>
      </c>
      <c r="R18" s="93" t="s">
        <v>148</v>
      </c>
    </row>
    <row r="19" customFormat="false" ht="43.5" hidden="false" customHeight="true" outlineLevel="0" collapsed="false">
      <c r="A19" s="88" t="s">
        <v>233</v>
      </c>
      <c r="B19" s="89" t="s">
        <v>227</v>
      </c>
      <c r="C19" s="90" t="s">
        <v>234</v>
      </c>
      <c r="D19" s="90" t="s">
        <v>235</v>
      </c>
      <c r="E19" s="90" t="s">
        <v>236</v>
      </c>
      <c r="F19" s="91" t="n">
        <v>2</v>
      </c>
      <c r="G19" s="91" t="n">
        <v>5</v>
      </c>
      <c r="H19" s="61" t="n">
        <f aca="false">F19*G19</f>
        <v>10</v>
      </c>
      <c r="I19" s="62" t="s">
        <v>58</v>
      </c>
      <c r="J19" s="59" t="s">
        <v>105</v>
      </c>
      <c r="K19" s="92" t="s">
        <v>237</v>
      </c>
      <c r="L19" s="91" t="n">
        <v>1</v>
      </c>
      <c r="M19" s="91" t="n">
        <v>3</v>
      </c>
      <c r="N19" s="66" t="n">
        <f aca="false">L19*M19</f>
        <v>3</v>
      </c>
      <c r="O19" s="67" t="s">
        <v>54</v>
      </c>
      <c r="P19" s="90" t="s">
        <v>238</v>
      </c>
      <c r="Q19" s="91" t="s">
        <v>147</v>
      </c>
      <c r="R19" s="93" t="s">
        <v>148</v>
      </c>
    </row>
    <row r="20" customFormat="false" ht="43.5" hidden="false" customHeight="true" outlineLevel="0" collapsed="false">
      <c r="A20" s="88" t="s">
        <v>239</v>
      </c>
      <c r="B20" s="89" t="s">
        <v>227</v>
      </c>
      <c r="C20" s="90" t="s">
        <v>240</v>
      </c>
      <c r="D20" s="90" t="s">
        <v>241</v>
      </c>
      <c r="E20" s="90" t="s">
        <v>242</v>
      </c>
      <c r="F20" s="91" t="n">
        <v>3</v>
      </c>
      <c r="G20" s="91" t="n">
        <v>4</v>
      </c>
      <c r="H20" s="64" t="n">
        <f aca="false">F20*G20</f>
        <v>12</v>
      </c>
      <c r="I20" s="65" t="s">
        <v>62</v>
      </c>
      <c r="J20" s="59" t="s">
        <v>105</v>
      </c>
      <c r="K20" s="92" t="s">
        <v>243</v>
      </c>
      <c r="L20" s="91" t="n">
        <v>2</v>
      </c>
      <c r="M20" s="91" t="n">
        <v>3</v>
      </c>
      <c r="N20" s="61" t="n">
        <f aca="false">L20*M20</f>
        <v>6</v>
      </c>
      <c r="O20" s="62" t="s">
        <v>58</v>
      </c>
      <c r="P20" s="90" t="s">
        <v>154</v>
      </c>
      <c r="Q20" s="91" t="s">
        <v>197</v>
      </c>
      <c r="R20" s="93" t="s">
        <v>148</v>
      </c>
    </row>
    <row r="21" customFormat="false" ht="43.5" hidden="false" customHeight="true" outlineLevel="0" collapsed="false">
      <c r="A21" s="94" t="s">
        <v>244</v>
      </c>
      <c r="B21" s="95" t="s">
        <v>245</v>
      </c>
      <c r="C21" s="96" t="s">
        <v>246</v>
      </c>
      <c r="D21" s="96" t="s">
        <v>247</v>
      </c>
      <c r="E21" s="96" t="s">
        <v>248</v>
      </c>
      <c r="F21" s="97" t="n">
        <v>3</v>
      </c>
      <c r="G21" s="97" t="n">
        <v>5</v>
      </c>
      <c r="H21" s="64" t="n">
        <f aca="false">F21*G21</f>
        <v>15</v>
      </c>
      <c r="I21" s="65" t="s">
        <v>62</v>
      </c>
      <c r="J21" s="59" t="s">
        <v>105</v>
      </c>
      <c r="K21" s="98" t="s">
        <v>249</v>
      </c>
      <c r="L21" s="97" t="n">
        <v>2</v>
      </c>
      <c r="M21" s="97" t="n">
        <v>3</v>
      </c>
      <c r="N21" s="61" t="n">
        <f aca="false">L21*M21</f>
        <v>6</v>
      </c>
      <c r="O21" s="62" t="s">
        <v>58</v>
      </c>
      <c r="P21" s="96" t="s">
        <v>154</v>
      </c>
      <c r="Q21" s="97" t="s">
        <v>147</v>
      </c>
      <c r="R21" s="99" t="s">
        <v>148</v>
      </c>
    </row>
    <row r="22" customFormat="false" ht="43.5" hidden="false" customHeight="true" outlineLevel="0" collapsed="false">
      <c r="A22" s="94" t="s">
        <v>250</v>
      </c>
      <c r="B22" s="95" t="s">
        <v>245</v>
      </c>
      <c r="C22" s="96" t="s">
        <v>251</v>
      </c>
      <c r="D22" s="96" t="s">
        <v>252</v>
      </c>
      <c r="E22" s="96" t="s">
        <v>253</v>
      </c>
      <c r="F22" s="97" t="n">
        <v>3</v>
      </c>
      <c r="G22" s="97" t="n">
        <v>4</v>
      </c>
      <c r="H22" s="64" t="n">
        <f aca="false">F22*G22</f>
        <v>12</v>
      </c>
      <c r="I22" s="65" t="s">
        <v>62</v>
      </c>
      <c r="J22" s="59" t="s">
        <v>105</v>
      </c>
      <c r="K22" s="98" t="s">
        <v>254</v>
      </c>
      <c r="L22" s="97" t="n">
        <v>2</v>
      </c>
      <c r="M22" s="97" t="n">
        <v>3</v>
      </c>
      <c r="N22" s="61" t="n">
        <f aca="false">L22*M22</f>
        <v>6</v>
      </c>
      <c r="O22" s="62" t="s">
        <v>58</v>
      </c>
      <c r="P22" s="96" t="s">
        <v>154</v>
      </c>
      <c r="Q22" s="97" t="s">
        <v>197</v>
      </c>
      <c r="R22" s="99" t="s">
        <v>148</v>
      </c>
    </row>
    <row r="23" customFormat="false" ht="43.5" hidden="false" customHeight="true" outlineLevel="0" collapsed="false">
      <c r="A23" s="94" t="s">
        <v>255</v>
      </c>
      <c r="B23" s="95" t="s">
        <v>245</v>
      </c>
      <c r="C23" s="96" t="s">
        <v>256</v>
      </c>
      <c r="D23" s="96" t="s">
        <v>257</v>
      </c>
      <c r="E23" s="96" t="s">
        <v>258</v>
      </c>
      <c r="F23" s="97" t="n">
        <v>3</v>
      </c>
      <c r="G23" s="97" t="n">
        <v>4</v>
      </c>
      <c r="H23" s="64" t="n">
        <f aca="false">F23*G23</f>
        <v>12</v>
      </c>
      <c r="I23" s="65" t="s">
        <v>62</v>
      </c>
      <c r="J23" s="59" t="s">
        <v>105</v>
      </c>
      <c r="K23" s="98" t="s">
        <v>259</v>
      </c>
      <c r="L23" s="97" t="n">
        <v>2</v>
      </c>
      <c r="M23" s="97" t="n">
        <v>2</v>
      </c>
      <c r="N23" s="66" t="n">
        <f aca="false">L23*M23</f>
        <v>4</v>
      </c>
      <c r="O23" s="67" t="s">
        <v>54</v>
      </c>
      <c r="P23" s="96" t="s">
        <v>154</v>
      </c>
      <c r="Q23" s="97" t="s">
        <v>197</v>
      </c>
      <c r="R23" s="99" t="s">
        <v>148</v>
      </c>
    </row>
    <row r="24" customFormat="false" ht="43.5" hidden="false" customHeight="true" outlineLevel="0" collapsed="false">
      <c r="A24" s="100" t="s">
        <v>260</v>
      </c>
      <c r="B24" s="101" t="s">
        <v>261</v>
      </c>
      <c r="C24" s="102" t="s">
        <v>262</v>
      </c>
      <c r="D24" s="102" t="s">
        <v>263</v>
      </c>
      <c r="E24" s="102" t="s">
        <v>264</v>
      </c>
      <c r="F24" s="103" t="n">
        <v>3</v>
      </c>
      <c r="G24" s="103" t="n">
        <v>5</v>
      </c>
      <c r="H24" s="64" t="n">
        <f aca="false">F24*G24</f>
        <v>15</v>
      </c>
      <c r="I24" s="65" t="s">
        <v>62</v>
      </c>
      <c r="J24" s="59" t="s">
        <v>105</v>
      </c>
      <c r="K24" s="104" t="s">
        <v>265</v>
      </c>
      <c r="L24" s="103" t="n">
        <v>2</v>
      </c>
      <c r="M24" s="103" t="n">
        <v>3</v>
      </c>
      <c r="N24" s="61" t="n">
        <f aca="false">L24*M24</f>
        <v>6</v>
      </c>
      <c r="O24" s="62" t="s">
        <v>58</v>
      </c>
      <c r="P24" s="102" t="s">
        <v>208</v>
      </c>
      <c r="Q24" s="103" t="s">
        <v>209</v>
      </c>
      <c r="R24" s="105" t="s">
        <v>148</v>
      </c>
    </row>
    <row r="25" customFormat="false" ht="43.5" hidden="false" customHeight="true" outlineLevel="0" collapsed="false">
      <c r="A25" s="100" t="s">
        <v>266</v>
      </c>
      <c r="B25" s="101" t="s">
        <v>261</v>
      </c>
      <c r="C25" s="102" t="s">
        <v>267</v>
      </c>
      <c r="D25" s="102" t="s">
        <v>268</v>
      </c>
      <c r="E25" s="102" t="s">
        <v>269</v>
      </c>
      <c r="F25" s="103" t="n">
        <v>2</v>
      </c>
      <c r="G25" s="103" t="n">
        <v>4</v>
      </c>
      <c r="H25" s="61" t="n">
        <f aca="false">F25*G25</f>
        <v>8</v>
      </c>
      <c r="I25" s="62" t="s">
        <v>58</v>
      </c>
      <c r="J25" s="59" t="s">
        <v>105</v>
      </c>
      <c r="K25" s="104" t="s">
        <v>270</v>
      </c>
      <c r="L25" s="103" t="n">
        <v>1</v>
      </c>
      <c r="M25" s="103" t="n">
        <v>3</v>
      </c>
      <c r="N25" s="66" t="n">
        <f aca="false">L25*M25</f>
        <v>3</v>
      </c>
      <c r="O25" s="67" t="s">
        <v>54</v>
      </c>
      <c r="P25" s="102" t="s">
        <v>208</v>
      </c>
      <c r="Q25" s="103" t="s">
        <v>197</v>
      </c>
      <c r="R25" s="105" t="s">
        <v>148</v>
      </c>
    </row>
    <row r="26" customFormat="false" ht="43.5" hidden="false" customHeight="true" outlineLevel="0" collapsed="false">
      <c r="A26" s="100" t="s">
        <v>271</v>
      </c>
      <c r="B26" s="101" t="s">
        <v>261</v>
      </c>
      <c r="C26" s="102" t="s">
        <v>272</v>
      </c>
      <c r="D26" s="102" t="s">
        <v>273</v>
      </c>
      <c r="E26" s="102" t="s">
        <v>274</v>
      </c>
      <c r="F26" s="103" t="n">
        <v>3</v>
      </c>
      <c r="G26" s="103" t="n">
        <v>4</v>
      </c>
      <c r="H26" s="64" t="n">
        <f aca="false">F26*G26</f>
        <v>12</v>
      </c>
      <c r="I26" s="65" t="s">
        <v>62</v>
      </c>
      <c r="J26" s="59" t="s">
        <v>105</v>
      </c>
      <c r="K26" s="104" t="s">
        <v>275</v>
      </c>
      <c r="L26" s="103" t="n">
        <v>1</v>
      </c>
      <c r="M26" s="103" t="n">
        <v>2</v>
      </c>
      <c r="N26" s="66" t="n">
        <f aca="false">L26*M26</f>
        <v>2</v>
      </c>
      <c r="O26" s="67" t="s">
        <v>54</v>
      </c>
      <c r="P26" s="102" t="s">
        <v>208</v>
      </c>
      <c r="Q26" s="103" t="s">
        <v>197</v>
      </c>
      <c r="R26" s="105" t="s">
        <v>148</v>
      </c>
    </row>
    <row r="27" customFormat="false" ht="43.5" hidden="false" customHeight="true" outlineLevel="0" collapsed="false">
      <c r="A27" s="106" t="s">
        <v>276</v>
      </c>
      <c r="B27" s="107" t="s">
        <v>277</v>
      </c>
      <c r="C27" s="108" t="s">
        <v>278</v>
      </c>
      <c r="D27" s="108" t="s">
        <v>279</v>
      </c>
      <c r="E27" s="108" t="s">
        <v>280</v>
      </c>
      <c r="F27" s="109" t="n">
        <v>3</v>
      </c>
      <c r="G27" s="109" t="n">
        <v>5</v>
      </c>
      <c r="H27" s="64" t="n">
        <f aca="false">F27*G27</f>
        <v>15</v>
      </c>
      <c r="I27" s="65" t="s">
        <v>62</v>
      </c>
      <c r="J27" s="59" t="s">
        <v>105</v>
      </c>
      <c r="K27" s="110" t="s">
        <v>281</v>
      </c>
      <c r="L27" s="109" t="n">
        <v>2</v>
      </c>
      <c r="M27" s="109" t="n">
        <v>3</v>
      </c>
      <c r="N27" s="61" t="n">
        <f aca="false">L27*M27</f>
        <v>6</v>
      </c>
      <c r="O27" s="62" t="s">
        <v>58</v>
      </c>
      <c r="P27" s="108" t="s">
        <v>154</v>
      </c>
      <c r="Q27" s="109" t="s">
        <v>209</v>
      </c>
      <c r="R27" s="111" t="s">
        <v>148</v>
      </c>
    </row>
    <row r="28" customFormat="false" ht="43.5" hidden="false" customHeight="true" outlineLevel="0" collapsed="false">
      <c r="A28" s="106" t="s">
        <v>282</v>
      </c>
      <c r="B28" s="107" t="s">
        <v>277</v>
      </c>
      <c r="C28" s="108" t="s">
        <v>283</v>
      </c>
      <c r="D28" s="108" t="s">
        <v>284</v>
      </c>
      <c r="E28" s="108" t="s">
        <v>285</v>
      </c>
      <c r="F28" s="109" t="n">
        <v>2</v>
      </c>
      <c r="G28" s="109" t="n">
        <v>4</v>
      </c>
      <c r="H28" s="61" t="n">
        <f aca="false">F28*G28</f>
        <v>8</v>
      </c>
      <c r="I28" s="62" t="s">
        <v>58</v>
      </c>
      <c r="J28" s="59" t="s">
        <v>105</v>
      </c>
      <c r="K28" s="110" t="s">
        <v>286</v>
      </c>
      <c r="L28" s="109" t="n">
        <v>2</v>
      </c>
      <c r="M28" s="109" t="n">
        <v>3</v>
      </c>
      <c r="N28" s="61" t="n">
        <f aca="false">L28*M28</f>
        <v>6</v>
      </c>
      <c r="O28" s="62" t="s">
        <v>58</v>
      </c>
      <c r="P28" s="108" t="s">
        <v>287</v>
      </c>
      <c r="Q28" s="109" t="s">
        <v>288</v>
      </c>
      <c r="R28" s="111" t="s">
        <v>148</v>
      </c>
    </row>
    <row r="29" customFormat="false" ht="43.5" hidden="false" customHeight="true" outlineLevel="0" collapsed="false">
      <c r="A29" s="112" t="s">
        <v>289</v>
      </c>
      <c r="B29" s="113" t="s">
        <v>290</v>
      </c>
      <c r="C29" s="114" t="s">
        <v>291</v>
      </c>
      <c r="D29" s="114" t="s">
        <v>292</v>
      </c>
      <c r="E29" s="114" t="s">
        <v>293</v>
      </c>
      <c r="F29" s="115" t="n">
        <v>3</v>
      </c>
      <c r="G29" s="115" t="n">
        <v>5</v>
      </c>
      <c r="H29" s="64" t="n">
        <f aca="false">F29*G29</f>
        <v>15</v>
      </c>
      <c r="I29" s="65" t="s">
        <v>62</v>
      </c>
      <c r="J29" s="59" t="s">
        <v>105</v>
      </c>
      <c r="K29" s="116" t="s">
        <v>294</v>
      </c>
      <c r="L29" s="115" t="n">
        <v>2</v>
      </c>
      <c r="M29" s="115" t="n">
        <v>3</v>
      </c>
      <c r="N29" s="61" t="n">
        <f aca="false">L29*M29</f>
        <v>6</v>
      </c>
      <c r="O29" s="62" t="s">
        <v>58</v>
      </c>
      <c r="P29" s="114" t="s">
        <v>154</v>
      </c>
      <c r="Q29" s="115" t="s">
        <v>209</v>
      </c>
      <c r="R29" s="117" t="s">
        <v>148</v>
      </c>
    </row>
    <row r="30" customFormat="false" ht="43.5" hidden="false" customHeight="true" outlineLevel="0" collapsed="false">
      <c r="A30" s="112" t="s">
        <v>295</v>
      </c>
      <c r="B30" s="113" t="s">
        <v>290</v>
      </c>
      <c r="C30" s="114" t="s">
        <v>296</v>
      </c>
      <c r="D30" s="114" t="s">
        <v>297</v>
      </c>
      <c r="E30" s="114" t="s">
        <v>298</v>
      </c>
      <c r="F30" s="115" t="n">
        <v>2</v>
      </c>
      <c r="G30" s="115" t="n">
        <v>4</v>
      </c>
      <c r="H30" s="61" t="n">
        <f aca="false">F30*G30</f>
        <v>8</v>
      </c>
      <c r="I30" s="62" t="s">
        <v>58</v>
      </c>
      <c r="J30" s="59" t="s">
        <v>105</v>
      </c>
      <c r="K30" s="116" t="s">
        <v>299</v>
      </c>
      <c r="L30" s="115" t="n">
        <v>1</v>
      </c>
      <c r="M30" s="115" t="n">
        <v>2</v>
      </c>
      <c r="N30" s="66" t="n">
        <f aca="false">L30*M30</f>
        <v>2</v>
      </c>
      <c r="O30" s="67" t="s">
        <v>54</v>
      </c>
      <c r="P30" s="114" t="s">
        <v>154</v>
      </c>
      <c r="Q30" s="115" t="s">
        <v>209</v>
      </c>
      <c r="R30" s="117" t="s">
        <v>148</v>
      </c>
    </row>
  </sheetData>
  <mergeCells count="7">
    <mergeCell ref="A1:N1"/>
    <mergeCell ref="O1:R1"/>
    <mergeCell ref="B2:E2"/>
    <mergeCell ref="F2:I2"/>
    <mergeCell ref="J2:K2"/>
    <mergeCell ref="L2:O2"/>
    <mergeCell ref="P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8" min="8" style="0" width="4"/>
  </cols>
  <sheetData>
    <row r="1" customFormat="false" ht="27.75" hidden="false" customHeight="true" outlineLevel="0" collapsed="false">
      <c r="B1" s="118" t="s">
        <v>300</v>
      </c>
      <c r="C1" s="118"/>
      <c r="D1" s="118"/>
      <c r="E1" s="118"/>
      <c r="F1" s="118"/>
      <c r="G1" s="118"/>
    </row>
    <row r="2" customFormat="false" ht="18" hidden="false" customHeight="true" outlineLevel="0" collapsed="false">
      <c r="B2" s="19" t="s">
        <v>301</v>
      </c>
      <c r="C2" s="19"/>
      <c r="D2" s="19"/>
      <c r="E2" s="19"/>
      <c r="F2" s="19"/>
      <c r="G2" s="19"/>
    </row>
    <row r="3" customFormat="false" ht="9.75" hidden="false" customHeight="true" outlineLevel="0" collapsed="false"/>
    <row r="4" customFormat="false" ht="19.5" hidden="false" customHeight="true" outlineLevel="0" collapsed="false">
      <c r="B4" s="20" t="s">
        <v>302</v>
      </c>
      <c r="C4" s="20"/>
      <c r="D4" s="20"/>
      <c r="E4" s="20"/>
      <c r="F4" s="20"/>
      <c r="G4" s="20"/>
    </row>
    <row r="5" customFormat="false" ht="18" hidden="false" customHeight="true" outlineLevel="0" collapsed="false">
      <c r="B5" s="119" t="s">
        <v>25</v>
      </c>
      <c r="C5" s="58" t="s">
        <v>84</v>
      </c>
      <c r="D5" s="65" t="s">
        <v>62</v>
      </c>
      <c r="E5" s="62" t="s">
        <v>58</v>
      </c>
      <c r="F5" s="67" t="s">
        <v>54</v>
      </c>
      <c r="G5" s="58" t="s">
        <v>303</v>
      </c>
    </row>
    <row r="6" customFormat="false" ht="31.5" hidden="false" customHeight="true" outlineLevel="0" collapsed="false">
      <c r="B6" s="120" t="n">
        <f aca="false">COUNTA('Risk Register'!A4:A30)</f>
        <v>27</v>
      </c>
      <c r="C6" s="121" t="n">
        <f aca="false">COUNTIF('Risk Register'!I4:I30,"Critical")</f>
        <v>4</v>
      </c>
      <c r="D6" s="122" t="n">
        <f aca="false">COUNTIF('Risk Register'!I4:I30,"High")</f>
        <v>17</v>
      </c>
      <c r="E6" s="123" t="n">
        <f aca="false">COUNTIF('Risk Register'!I4:I30,"Medium")</f>
        <v>6</v>
      </c>
      <c r="F6" s="124" t="n">
        <f aca="false">COUNTIF('Risk Register'!I4:I30,"Low")</f>
        <v>0</v>
      </c>
      <c r="G6" s="121" t="n">
        <f aca="false">COUNTIF('Risk Register'!R4:R30,"*Live*")</f>
        <v>1</v>
      </c>
    </row>
    <row r="7" customFormat="false" ht="12" hidden="false" customHeight="true" outlineLevel="0" collapsed="false"/>
    <row r="8" customFormat="false" ht="19.5" hidden="false" customHeight="true" outlineLevel="0" collapsed="false">
      <c r="B8" s="20" t="s">
        <v>304</v>
      </c>
      <c r="C8" s="20"/>
      <c r="D8" s="20"/>
      <c r="E8" s="20"/>
      <c r="F8" s="20"/>
      <c r="G8" s="20"/>
    </row>
    <row r="9" customFormat="false" ht="18" hidden="false" customHeight="true" outlineLevel="0" collapsed="false">
      <c r="B9" s="49" t="s">
        <v>46</v>
      </c>
      <c r="C9" s="49" t="s">
        <v>305</v>
      </c>
      <c r="D9" s="49" t="s">
        <v>306</v>
      </c>
      <c r="E9" s="49" t="s">
        <v>307</v>
      </c>
      <c r="F9" s="49"/>
      <c r="G9" s="49"/>
    </row>
    <row r="10" customFormat="false" ht="21.75" hidden="false" customHeight="true" outlineLevel="0" collapsed="false">
      <c r="B10" s="57" t="s">
        <v>84</v>
      </c>
      <c r="C10" s="125" t="n">
        <f aca="false">COUNTIF('Risk Register'!I4:I30,"Critical")</f>
        <v>4</v>
      </c>
      <c r="D10" s="125" t="n">
        <f aca="false">COUNTIF('Risk Register'!O4:O30,"Critical")</f>
        <v>0</v>
      </c>
      <c r="E10" s="126" t="n">
        <f aca="false">C10-D10</f>
        <v>4</v>
      </c>
      <c r="F10" s="127"/>
      <c r="G10" s="127"/>
    </row>
    <row r="11" customFormat="false" ht="21.75" hidden="false" customHeight="true" outlineLevel="0" collapsed="false">
      <c r="B11" s="64" t="s">
        <v>62</v>
      </c>
      <c r="C11" s="128" t="n">
        <f aca="false">COUNTIF('Risk Register'!I4:I30,"High")</f>
        <v>17</v>
      </c>
      <c r="D11" s="128" t="n">
        <f aca="false">COUNTIF('Risk Register'!O4:O30,"High")</f>
        <v>0</v>
      </c>
      <c r="E11" s="126" t="n">
        <f aca="false">C11-D11</f>
        <v>17</v>
      </c>
      <c r="F11" s="127"/>
      <c r="G11" s="127"/>
    </row>
    <row r="12" customFormat="false" ht="21.75" hidden="false" customHeight="true" outlineLevel="0" collapsed="false">
      <c r="B12" s="61" t="s">
        <v>58</v>
      </c>
      <c r="C12" s="129" t="n">
        <f aca="false">COUNTIF('Risk Register'!I4:I30,"Medium")</f>
        <v>6</v>
      </c>
      <c r="D12" s="129" t="n">
        <f aca="false">COUNTIF('Risk Register'!O4:O30,"Medium")</f>
        <v>17</v>
      </c>
      <c r="E12" s="126" t="n">
        <f aca="false">C12-D12</f>
        <v>-11</v>
      </c>
      <c r="F12" s="127"/>
      <c r="G12" s="127"/>
    </row>
    <row r="13" customFormat="false" ht="21.75" hidden="false" customHeight="true" outlineLevel="0" collapsed="false">
      <c r="B13" s="66" t="s">
        <v>54</v>
      </c>
      <c r="C13" s="126" t="n">
        <f aca="false">COUNTIF('Risk Register'!I4:I30,"Low")</f>
        <v>0</v>
      </c>
      <c r="D13" s="126" t="n">
        <f aca="false">COUNTIF('Risk Register'!O4:O30,"Low")</f>
        <v>10</v>
      </c>
      <c r="E13" s="126" t="n">
        <f aca="false">C13-D13</f>
        <v>-10</v>
      </c>
      <c r="F13" s="127"/>
      <c r="G13" s="127"/>
    </row>
    <row r="14" customFormat="false" ht="12" hidden="false" customHeight="true" outlineLevel="0" collapsed="false"/>
    <row r="15" customFormat="false" ht="19.5" hidden="false" customHeight="true" outlineLevel="0" collapsed="false">
      <c r="B15" s="20" t="s">
        <v>308</v>
      </c>
      <c r="C15" s="20"/>
      <c r="D15" s="20"/>
      <c r="E15" s="20"/>
      <c r="F15" s="20"/>
      <c r="G15" s="20"/>
    </row>
    <row r="16" customFormat="false" ht="18" hidden="false" customHeight="true" outlineLevel="0" collapsed="false">
      <c r="B16" s="49" t="s">
        <v>129</v>
      </c>
      <c r="C16" s="49" t="s">
        <v>309</v>
      </c>
      <c r="D16" s="49" t="s">
        <v>84</v>
      </c>
      <c r="E16" s="49" t="s">
        <v>62</v>
      </c>
      <c r="F16" s="49" t="s">
        <v>58</v>
      </c>
      <c r="G16" s="49" t="s">
        <v>54</v>
      </c>
    </row>
    <row r="17" customFormat="false" ht="19.5" hidden="false" customHeight="true" outlineLevel="0" collapsed="false">
      <c r="B17" s="15" t="s">
        <v>141</v>
      </c>
      <c r="C17" s="130" t="n">
        <f aca="false">COUNTIF('Risk Register'!B4:B30,"Governance")</f>
        <v>4</v>
      </c>
      <c r="D17" s="131" t="n">
        <f aca="false">COUNTIFS('Risk Register'!B4:B30,"Governance",'Risk Register'!I4:I30,"Critical")</f>
        <v>2</v>
      </c>
      <c r="E17" s="132" t="n">
        <f aca="false">COUNTIFS('Risk Register'!B4:B30,"Governance",'Risk Register'!I4:I30,"High")</f>
        <v>2</v>
      </c>
      <c r="F17" s="133" t="n">
        <f aca="false">COUNTIFS('Risk Register'!B4:B30,"Governance",'Risk Register'!I4:I30,"Medium")</f>
        <v>0</v>
      </c>
      <c r="G17" s="134" t="n">
        <f aca="false">COUNTIFS('Risk Register'!B4:B30,"Governance",'Risk Register'!I4:I30,"Low")</f>
        <v>0</v>
      </c>
    </row>
    <row r="18" customFormat="false" ht="19.5" hidden="false" customHeight="true" outlineLevel="0" collapsed="false">
      <c r="B18" s="13" t="s">
        <v>167</v>
      </c>
      <c r="C18" s="135" t="n">
        <f aca="false">COUNTIF('Risk Register'!B4:B30,"Access Control")</f>
        <v>4</v>
      </c>
      <c r="D18" s="136" t="n">
        <f aca="false">COUNTIFS('Risk Register'!B4:B30,"Access Control",'Risk Register'!I4:I30,"Critical")</f>
        <v>2</v>
      </c>
      <c r="E18" s="137" t="n">
        <f aca="false">COUNTIFS('Risk Register'!B4:B30,"Access Control",'Risk Register'!I4:I30,"High")</f>
        <v>2</v>
      </c>
      <c r="F18" s="138" t="n">
        <f aca="false">COUNTIFS('Risk Register'!B4:B30,"Access Control",'Risk Register'!I4:I30,"Medium")</f>
        <v>0</v>
      </c>
      <c r="G18" s="139" t="n">
        <f aca="false">COUNTIFS('Risk Register'!B4:B30,"Access Control",'Risk Register'!I4:I30,"Low")</f>
        <v>0</v>
      </c>
    </row>
    <row r="19" customFormat="false" ht="19.5" hidden="false" customHeight="true" outlineLevel="0" collapsed="false">
      <c r="B19" s="15" t="s">
        <v>192</v>
      </c>
      <c r="C19" s="130" t="n">
        <f aca="false">COUNTIF('Risk Register'!B4:B30,"Third-Party Risk")</f>
        <v>3</v>
      </c>
      <c r="D19" s="131" t="n">
        <f aca="false">COUNTIFS('Risk Register'!B4:B30,"Third-Party Risk",'Risk Register'!I4:I30,"Critical")</f>
        <v>0</v>
      </c>
      <c r="E19" s="132" t="n">
        <f aca="false">COUNTIFS('Risk Register'!B4:B30,"Third-Party Risk",'Risk Register'!I4:I30,"High")</f>
        <v>2</v>
      </c>
      <c r="F19" s="133" t="n">
        <f aca="false">COUNTIFS('Risk Register'!B4:B30,"Third-Party Risk",'Risk Register'!I4:I30,"Medium")</f>
        <v>1</v>
      </c>
      <c r="G19" s="134" t="n">
        <f aca="false">COUNTIFS('Risk Register'!B4:B30,"Third-Party Risk",'Risk Register'!I4:I30,"Low")</f>
        <v>0</v>
      </c>
    </row>
    <row r="20" customFormat="false" ht="19.5" hidden="false" customHeight="true" outlineLevel="0" collapsed="false">
      <c r="B20" s="13" t="s">
        <v>211</v>
      </c>
      <c r="C20" s="135" t="n">
        <f aca="false">COUNTIF('Risk Register'!B4:B30,"Incident Management")</f>
        <v>3</v>
      </c>
      <c r="D20" s="136" t="n">
        <f aca="false">COUNTIFS('Risk Register'!B4:B30,"Incident Management",'Risk Register'!I4:I30,"Critical")</f>
        <v>0</v>
      </c>
      <c r="E20" s="137" t="n">
        <f aca="false">COUNTIFS('Risk Register'!B4:B30,"Incident Management",'Risk Register'!I4:I30,"High")</f>
        <v>2</v>
      </c>
      <c r="F20" s="138" t="n">
        <f aca="false">COUNTIFS('Risk Register'!B4:B30,"Incident Management",'Risk Register'!I4:I30,"Medium")</f>
        <v>1</v>
      </c>
      <c r="G20" s="139" t="n">
        <f aca="false">COUNTIFS('Risk Register'!B4:B30,"Incident Management",'Risk Register'!I4:I30,"Low")</f>
        <v>0</v>
      </c>
    </row>
    <row r="21" customFormat="false" ht="19.5" hidden="false" customHeight="true" outlineLevel="0" collapsed="false">
      <c r="B21" s="15" t="s">
        <v>227</v>
      </c>
      <c r="C21" s="130" t="n">
        <f aca="false">COUNTIF('Risk Register'!B4:B30,"People Security")</f>
        <v>3</v>
      </c>
      <c r="D21" s="131" t="n">
        <f aca="false">COUNTIFS('Risk Register'!B4:B30,"People Security",'Risk Register'!I4:I30,"Critical")</f>
        <v>0</v>
      </c>
      <c r="E21" s="132" t="n">
        <f aca="false">COUNTIFS('Risk Register'!B4:B30,"People Security",'Risk Register'!I4:I30,"High")</f>
        <v>2</v>
      </c>
      <c r="F21" s="133" t="n">
        <f aca="false">COUNTIFS('Risk Register'!B4:B30,"People Security",'Risk Register'!I4:I30,"Medium")</f>
        <v>1</v>
      </c>
      <c r="G21" s="134" t="n">
        <f aca="false">COUNTIFS('Risk Register'!B4:B30,"People Security",'Risk Register'!I4:I30,"Low")</f>
        <v>0</v>
      </c>
    </row>
    <row r="22" customFormat="false" ht="19.5" hidden="false" customHeight="true" outlineLevel="0" collapsed="false">
      <c r="B22" s="13" t="s">
        <v>245</v>
      </c>
      <c r="C22" s="135" t="n">
        <f aca="false">COUNTIF('Risk Register'!B4:B30,"Vulnerability Management")</f>
        <v>3</v>
      </c>
      <c r="D22" s="136" t="n">
        <f aca="false">COUNTIFS('Risk Register'!B4:B30,"Vulnerability Management",'Risk Register'!I4:I30,"Critical")</f>
        <v>0</v>
      </c>
      <c r="E22" s="137" t="n">
        <f aca="false">COUNTIFS('Risk Register'!B4:B30,"Vulnerability Management",'Risk Register'!I4:I30,"High")</f>
        <v>3</v>
      </c>
      <c r="F22" s="138" t="n">
        <f aca="false">COUNTIFS('Risk Register'!B4:B30,"Vulnerability Management",'Risk Register'!I4:I30,"Medium")</f>
        <v>0</v>
      </c>
      <c r="G22" s="139" t="n">
        <f aca="false">COUNTIFS('Risk Register'!B4:B30,"Vulnerability Management",'Risk Register'!I4:I30,"Low")</f>
        <v>0</v>
      </c>
    </row>
    <row r="23" customFormat="false" ht="19.5" hidden="false" customHeight="true" outlineLevel="0" collapsed="false">
      <c r="B23" s="15" t="s">
        <v>261</v>
      </c>
      <c r="C23" s="130" t="n">
        <f aca="false">COUNTIF('Risk Register'!B4:B30,"Secure Development")</f>
        <v>3</v>
      </c>
      <c r="D23" s="131" t="n">
        <f aca="false">COUNTIFS('Risk Register'!B4:B30,"Secure Development",'Risk Register'!I4:I30,"Critical")</f>
        <v>0</v>
      </c>
      <c r="E23" s="132" t="n">
        <f aca="false">COUNTIFS('Risk Register'!B4:B30,"Secure Development",'Risk Register'!I4:I30,"High")</f>
        <v>2</v>
      </c>
      <c r="F23" s="133" t="n">
        <f aca="false">COUNTIFS('Risk Register'!B4:B30,"Secure Development",'Risk Register'!I4:I30,"Medium")</f>
        <v>1</v>
      </c>
      <c r="G23" s="134" t="n">
        <f aca="false">COUNTIFS('Risk Register'!B4:B30,"Secure Development",'Risk Register'!I4:I30,"Low")</f>
        <v>0</v>
      </c>
    </row>
    <row r="24" customFormat="false" ht="19.5" hidden="false" customHeight="true" outlineLevel="0" collapsed="false">
      <c r="B24" s="13" t="s">
        <v>277</v>
      </c>
      <c r="C24" s="135" t="n">
        <f aca="false">COUNTIF('Risk Register'!B4:B30,"Business Continuity")</f>
        <v>2</v>
      </c>
      <c r="D24" s="136" t="n">
        <f aca="false">COUNTIFS('Risk Register'!B4:B30,"Business Continuity",'Risk Register'!I4:I30,"Critical")</f>
        <v>0</v>
      </c>
      <c r="E24" s="137" t="n">
        <f aca="false">COUNTIFS('Risk Register'!B4:B30,"Business Continuity",'Risk Register'!I4:I30,"High")</f>
        <v>1</v>
      </c>
      <c r="F24" s="138" t="n">
        <f aca="false">COUNTIFS('Risk Register'!B4:B30,"Business Continuity",'Risk Register'!I4:I30,"Medium")</f>
        <v>1</v>
      </c>
      <c r="G24" s="139" t="n">
        <f aca="false">COUNTIFS('Risk Register'!B4:B30,"Business Continuity",'Risk Register'!I4:I30,"Low")</f>
        <v>0</v>
      </c>
    </row>
    <row r="25" customFormat="false" ht="19.5" hidden="false" customHeight="true" outlineLevel="0" collapsed="false">
      <c r="B25" s="15" t="s">
        <v>290</v>
      </c>
      <c r="C25" s="130" t="n">
        <f aca="false">COUNTIF('Risk Register'!B4:B30,"Data Protection")</f>
        <v>2</v>
      </c>
      <c r="D25" s="131" t="n">
        <f aca="false">COUNTIFS('Risk Register'!B4:B30,"Data Protection",'Risk Register'!I4:I30,"Critical")</f>
        <v>0</v>
      </c>
      <c r="E25" s="132" t="n">
        <f aca="false">COUNTIFS('Risk Register'!B4:B30,"Data Protection",'Risk Register'!I4:I30,"High")</f>
        <v>1</v>
      </c>
      <c r="F25" s="133" t="n">
        <f aca="false">COUNTIFS('Risk Register'!B4:B30,"Data Protection",'Risk Register'!I4:I30,"Medium")</f>
        <v>1</v>
      </c>
      <c r="G25" s="134" t="n">
        <f aca="false">COUNTIFS('Risk Register'!B4:B30,"Data Protection",'Risk Register'!I4:I30,"Low")</f>
        <v>0</v>
      </c>
    </row>
    <row r="26" customFormat="false" ht="19.5" hidden="false" customHeight="true" outlineLevel="0" collapsed="false">
      <c r="B26" s="12" t="s">
        <v>310</v>
      </c>
      <c r="C26" s="130" t="n">
        <f aca="false">SUM(C17:C25)</f>
        <v>27</v>
      </c>
      <c r="D26" s="57" t="n">
        <f aca="false">SUM(D17:D25)</f>
        <v>4</v>
      </c>
      <c r="E26" s="64" t="n">
        <f aca="false">SUM(E17:E25)</f>
        <v>17</v>
      </c>
      <c r="F26" s="61" t="n">
        <f aca="false">SUM(F17:F25)</f>
        <v>6</v>
      </c>
      <c r="G26" s="66" t="n">
        <f aca="false">SUM(G17:G25)</f>
        <v>0</v>
      </c>
    </row>
    <row r="27" customFormat="false" ht="12" hidden="false" customHeight="true" outlineLevel="0" collapsed="false"/>
    <row r="28" customFormat="false" ht="19.5" hidden="false" customHeight="true" outlineLevel="0" collapsed="false">
      <c r="B28" s="20" t="s">
        <v>311</v>
      </c>
      <c r="C28" s="20"/>
      <c r="D28" s="20"/>
      <c r="E28" s="20"/>
      <c r="F28" s="20"/>
      <c r="G28" s="20"/>
    </row>
    <row r="29" customFormat="false" ht="18" hidden="false" customHeight="true" outlineLevel="0" collapsed="false">
      <c r="B29" s="49" t="s">
        <v>102</v>
      </c>
      <c r="C29" s="49" t="s">
        <v>312</v>
      </c>
      <c r="D29" s="49" t="s">
        <v>313</v>
      </c>
      <c r="E29" s="49"/>
      <c r="F29" s="49"/>
      <c r="G29" s="49"/>
    </row>
    <row r="30" customFormat="false" ht="21.75" hidden="false" customHeight="true" outlineLevel="0" collapsed="false">
      <c r="B30" s="140" t="s">
        <v>105</v>
      </c>
      <c r="C30" s="141" t="n">
        <f aca="false">COUNTIF('Risk Register'!J4:J30,"Mitigate")</f>
        <v>27</v>
      </c>
      <c r="D30" s="142" t="n">
        <f aca="false">IF(B6=0,0,C30/B6)</f>
        <v>1</v>
      </c>
      <c r="E30" s="127"/>
      <c r="F30" s="127"/>
      <c r="G30" s="127"/>
    </row>
    <row r="31" customFormat="false" ht="21.75" hidden="false" customHeight="true" outlineLevel="0" collapsed="false">
      <c r="B31" s="143" t="s">
        <v>109</v>
      </c>
      <c r="C31" s="144" t="n">
        <f aca="false">COUNTIF('Risk Register'!J4:J30,"Accept")</f>
        <v>0</v>
      </c>
      <c r="D31" s="145" t="n">
        <f aca="false">IF(B6=0,0,C31/B6)</f>
        <v>0</v>
      </c>
      <c r="E31" s="127"/>
      <c r="F31" s="127"/>
      <c r="G31" s="127"/>
    </row>
    <row r="32" customFormat="false" ht="21.75" hidden="false" customHeight="true" outlineLevel="0" collapsed="false">
      <c r="B32" s="140" t="s">
        <v>113</v>
      </c>
      <c r="C32" s="141" t="n">
        <f aca="false">COUNTIF('Risk Register'!J4:J30,"Transfer")</f>
        <v>0</v>
      </c>
      <c r="D32" s="142" t="n">
        <f aca="false">IF(B6=0,0,C32/B6)</f>
        <v>0</v>
      </c>
      <c r="E32" s="127"/>
      <c r="F32" s="127"/>
      <c r="G32" s="127"/>
    </row>
    <row r="33" customFormat="false" ht="21.75" hidden="false" customHeight="true" outlineLevel="0" collapsed="false">
      <c r="B33" s="143" t="s">
        <v>117</v>
      </c>
      <c r="C33" s="144" t="n">
        <f aca="false">COUNTIF('Risk Register'!J4:J30,"Avoid")</f>
        <v>0</v>
      </c>
      <c r="D33" s="145" t="n">
        <f aca="false">IF(B6=0,0,C33/B6)</f>
        <v>0</v>
      </c>
      <c r="E33" s="127"/>
      <c r="F33" s="127"/>
      <c r="G33" s="127"/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14">
    <mergeCell ref="B1:G1"/>
    <mergeCell ref="B2:G2"/>
    <mergeCell ref="B4:G4"/>
    <mergeCell ref="B8:G8"/>
    <mergeCell ref="F10:G10"/>
    <mergeCell ref="F11:G11"/>
    <mergeCell ref="F12:G12"/>
    <mergeCell ref="F13:G13"/>
    <mergeCell ref="B15:G15"/>
    <mergeCell ref="B28:G28"/>
    <mergeCell ref="E30:G30"/>
    <mergeCell ref="E31:G31"/>
    <mergeCell ref="E32:G32"/>
    <mergeCell ref="E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2026-06-20T11:45:21Z</dcterms:created>
  <dc:creator>openpyxl</dc:creator>
  <dc:description/>
  <dc:language>en-US</dc:language>
  <cp:lastModifiedBy/>
  <dcterms:modified xsi:type="dcterms:W3CDTF">2026-06-20T11:45:21Z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