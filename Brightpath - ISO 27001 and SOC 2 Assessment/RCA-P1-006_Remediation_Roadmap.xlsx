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mediation Roadmap" sheetId="2" state="visible" r:id="rId4"/>
    <sheet name="Gantt Timeline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<sst xmlns="http://schemas.openxmlformats.org/spreadsheetml/2006/main" count="747" uniqueCount="273">
  <si>
    <t xml:space="preserve">RESOLUTE COMPLIANCE ADVISORY LLP</t>
  </si>
  <si>
    <t xml:space="preserve">Governance · Risk · Compliance</t>
  </si>
  <si>
    <t xml:space="preserve">PRIORITISED REMEDIATION ROADMAP</t>
  </si>
  <si>
    <t xml:space="preserve">ISO 27001:2022 + SOC 2  —  Brightpath Technologies Pvt. Ltd.</t>
  </si>
  <si>
    <t xml:space="preserve">Prepared for</t>
  </si>
  <si>
    <t xml:space="preserve">Brightpath Technologies Pvt. Ltd.</t>
  </si>
  <si>
    <t xml:space="preserve">IT Services  ·  Bengaluru, India</t>
  </si>
  <si>
    <t xml:space="preserve">Roadmap Period: February 2024 – February 2025</t>
  </si>
  <si>
    <t xml:space="preserve">Prepared by</t>
  </si>
  <si>
    <t xml:space="preserve">kay Shahbaaz</t>
  </si>
  <si>
    <t xml:space="preserve">Title</t>
  </si>
  <si>
    <t xml:space="preserve">GRC Analyst</t>
  </si>
  <si>
    <t xml:space="preserve">Date</t>
  </si>
  <si>
    <t xml:space="preserve">28 February 2024</t>
  </si>
  <si>
    <t xml:space="preserve">Field</t>
  </si>
  <si>
    <t xml:space="preserve">Details</t>
  </si>
  <si>
    <t xml:space="preserve">Document Title</t>
  </si>
  <si>
    <t xml:space="preserve">Prioritised Remediation Roadmap</t>
  </si>
  <si>
    <t xml:space="preserve">Document Ref</t>
  </si>
  <si>
    <t xml:space="preserve">RCA-P1-006</t>
  </si>
  <si>
    <t xml:space="preserve">Client</t>
  </si>
  <si>
    <t xml:space="preserve">Source Documents</t>
  </si>
  <si>
    <t xml:space="preserve">RCA-P1-002 (ISO 27001 Gap), RCA-P1-003 (SOC 2 Gap), RCA-P1-005 (Risk Register)</t>
  </si>
  <si>
    <t xml:space="preserve">Frameworks</t>
  </si>
  <si>
    <t xml:space="preserve">ISO 27001:2022 + SOC 2 Trust Services Criteria</t>
  </si>
  <si>
    <t xml:space="preserve">Total Actions</t>
  </si>
  <si>
    <t xml:space="preserve">34</t>
  </si>
  <si>
    <t xml:space="preserve">Roadmap Period</t>
  </si>
  <si>
    <t xml:space="preserve">February 2024 – February 2025</t>
  </si>
  <si>
    <t xml:space="preserve">Version</t>
  </si>
  <si>
    <t xml:space="preserve">v1.0</t>
  </si>
  <si>
    <t xml:space="preserve">Classification</t>
  </si>
  <si>
    <t xml:space="preserve">CONFIDENTIAL</t>
  </si>
  <si>
    <t xml:space="preserve">Status</t>
  </si>
  <si>
    <t xml:space="preserve">Final</t>
  </si>
  <si>
    <t xml:space="preserve">CONFIDENTIALITY NOTICE — This document is prepared exclusively for Brightpath Technologies Pvt. Ltd. and may not be disclosed without prior written consent of Resolute Compliance Advisory LLP.</t>
  </si>
  <si>
    <t xml:space="preserve">RESOLUTE COMPLIANCE ADVISORY LLP  ·  Remediation Roadmap  ·  RCA-P1-006  ·  Brightpath Technologies Pvt. Ltd.</t>
  </si>
  <si>
    <t xml:space="preserve">ISO 27001:2022 + SOC 2  ·  Assessment Period: Oct–Dec 2023  ·  Roadmap Period: Feb 2024 – Feb 2025  ·  Report Date: 28 February 2024</t>
  </si>
  <si>
    <t xml:space="preserve">Action
ID</t>
  </si>
  <si>
    <t xml:space="preserve">Priority</t>
  </si>
  <si>
    <t xml:space="preserve">Domain</t>
  </si>
  <si>
    <t xml:space="preserve">Remediation Action</t>
  </si>
  <si>
    <t xml:space="preserve">Framework
Reference</t>
  </si>
  <si>
    <t xml:space="preserve">Risk
Ref</t>
  </si>
  <si>
    <t xml:space="preserve">Effort</t>
  </si>
  <si>
    <t xml:space="preserve">Phase</t>
  </si>
  <si>
    <t xml:space="preserve">Owner</t>
  </si>
  <si>
    <t xml:space="preserve">Start
Month</t>
  </si>
  <si>
    <t xml:space="preserve">End
Month</t>
  </si>
  <si>
    <t xml:space="preserve">RM-001</t>
  </si>
  <si>
    <t xml:space="preserve">Critical</t>
  </si>
  <si>
    <t xml:space="preserve">Governance</t>
  </si>
  <si>
    <t xml:space="preserve">Appoint Information Security Officer and formally assign ISMS ownership</t>
  </si>
  <si>
    <t xml:space="preserve">ISO 27001:2022 Clause 5.3 / A.5.2</t>
  </si>
  <si>
    <t xml:space="preserve">R-001</t>
  </si>
  <si>
    <t xml:space="preserve">Small (&lt; 1 wk)</t>
  </si>
  <si>
    <t xml:space="preserve">Phase 1
(Immediate)</t>
  </si>
  <si>
    <t xml:space="preserve">Senior Management</t>
  </si>
  <si>
    <t xml:space="preserve">Feb 2024</t>
  </si>
  <si>
    <t xml:space="preserve">Open</t>
  </si>
  <si>
    <t xml:space="preserve">RM-002</t>
  </si>
  <si>
    <t xml:space="preserve">Access Control</t>
  </si>
  <si>
    <t xml:space="preserve">Immediately revoke all active credentials for former employees — live risk</t>
  </si>
  <si>
    <t xml:space="preserve">ISO 27001:2022 A.5.18 / A.6.5 / SOC 2 CC6.5</t>
  </si>
  <si>
    <t xml:space="preserve">R-006</t>
  </si>
  <si>
    <t xml:space="preserve">IT Manager</t>
  </si>
  <si>
    <t xml:space="preserve">RM-003</t>
  </si>
  <si>
    <t xml:space="preserve">Draft and obtain management sign-off on Information Security Policy</t>
  </si>
  <si>
    <t xml:space="preserve">ISO 27001:2022 Clause 5.2 / A.5.1 / SOC 2 CC2.2</t>
  </si>
  <si>
    <t xml:space="preserve">ISO / IT Manager</t>
  </si>
  <si>
    <t xml:space="preserve">Mar 2024</t>
  </si>
  <si>
    <t xml:space="preserve">RM-004</t>
  </si>
  <si>
    <t xml:space="preserve">Define and document ISMS scope per ISO 27001:2022 Clause 4.3</t>
  </si>
  <si>
    <t xml:space="preserve">ISO 27001:2022 Clause 4.3</t>
  </si>
  <si>
    <t xml:space="preserve">RM-005</t>
  </si>
  <si>
    <t xml:space="preserve">Define risk assessment methodology: criteria, likelihood/impact scale, risk appetite</t>
  </si>
  <si>
    <t xml:space="preserve">ISO 27001:2022 Clause 6.1.2 / SOC 2 CC3.1</t>
  </si>
  <si>
    <t xml:space="preserve">R-003</t>
  </si>
  <si>
    <t xml:space="preserve">RM-006</t>
  </si>
  <si>
    <t xml:space="preserve">Conduct enterprise-wide information asset inventory; assign asset owners; classify by sensitivity</t>
  </si>
  <si>
    <t xml:space="preserve">ISO 27001:2022 A.5.9 / A.5.12</t>
  </si>
  <si>
    <t xml:space="preserve">R-002</t>
  </si>
  <si>
    <t xml:space="preserve">Medium (1–4 wk)</t>
  </si>
  <si>
    <t xml:space="preserve">Apr 2024</t>
  </si>
  <si>
    <t xml:space="preserve">RM-007</t>
  </si>
  <si>
    <t xml:space="preserve">Conduct initial ISO 27001:2022 risk assessment using approved methodology; produce Risk Treatment Plan</t>
  </si>
  <si>
    <t xml:space="preserve">ISO 27001:2022 Clause 6.1.2 / 6.1.3 / SOC 2 CC3.2</t>
  </si>
  <si>
    <t xml:space="preserve">May 2024</t>
  </si>
  <si>
    <t xml:space="preserve">RM-008</t>
  </si>
  <si>
    <t xml:space="preserve">Develop and implement Access Control Policy; enforce least-privilege across all AWS IAM roles</t>
  </si>
  <si>
    <t xml:space="preserve">ISO 27001:2022 A.5.15 / A.5.18 / A.8.2 / SOC 2 CC6.1 / CC6.3</t>
  </si>
  <si>
    <t xml:space="preserve">R-005</t>
  </si>
  <si>
    <t xml:space="preserve">RM-009</t>
  </si>
  <si>
    <t xml:space="preserve">High</t>
  </si>
  <si>
    <t xml:space="preserve">Enforce MFA on all AWS accounts and administrative interfaces</t>
  </si>
  <si>
    <t xml:space="preserve">ISO 27001:2022 A.8.5 / SOC 2 CC6.1</t>
  </si>
  <si>
    <t xml:space="preserve">R-008</t>
  </si>
  <si>
    <t xml:space="preserve">RM-010</t>
  </si>
  <si>
    <t xml:space="preserve">People Security</t>
  </si>
  <si>
    <t xml:space="preserve">Launch mandatory security awareness training for all staff; track completion</t>
  </si>
  <si>
    <t xml:space="preserve">ISO 27001:2022 A.6.3 / SOC 2 CC1.4</t>
  </si>
  <si>
    <t xml:space="preserve">R-015</t>
  </si>
  <si>
    <t xml:space="preserve">HR / IT Manager</t>
  </si>
  <si>
    <t xml:space="preserve">RM-011</t>
  </si>
  <si>
    <t xml:space="preserve">Implement pre-employment background screening policy; apply to all new hires from Mar 2024</t>
  </si>
  <si>
    <t xml:space="preserve">ISO 27001:2022 A.6.1</t>
  </si>
  <si>
    <t xml:space="preserve">R-016</t>
  </si>
  <si>
    <t xml:space="preserve">HR Manager</t>
  </si>
  <si>
    <t xml:space="preserve">RM-012</t>
  </si>
  <si>
    <t xml:space="preserve">Develop offboarding checklist; mandate access revocation within 24 hours of departure</t>
  </si>
  <si>
    <t xml:space="preserve">ISO 27001:2022 A.6.5 / SOC 2 CC6.5</t>
  </si>
  <si>
    <t xml:space="preserve">RM-013</t>
  </si>
  <si>
    <t xml:space="preserve">Incident Management</t>
  </si>
  <si>
    <t xml:space="preserve">Develop and test Incident Response Plan; define severity levels, roles, and escalation paths</t>
  </si>
  <si>
    <t xml:space="preserve">ISO 27001:2022 A.5.24 / A.5.25 / A.5.26 / SOC 2 CC7.3 / CC7.4</t>
  </si>
  <si>
    <t xml:space="preserve">R-012</t>
  </si>
  <si>
    <t xml:space="preserve">RM-014</t>
  </si>
  <si>
    <t xml:space="preserve">Vulnerability Management</t>
  </si>
  <si>
    <t xml:space="preserve">Deploy vulnerability scanning (monthly cadence); define patching SLAs: Critical 72hr, High 14d, Medium 30d</t>
  </si>
  <si>
    <t xml:space="preserve">ISO 27001:2022 A.8.8 / SOC 2 CC7.1</t>
  </si>
  <si>
    <t xml:space="preserve">R-018</t>
  </si>
  <si>
    <t xml:space="preserve">RM-015</t>
  </si>
  <si>
    <t xml:space="preserve">Third-Party Risk</t>
  </si>
  <si>
    <t xml:space="preserve">Draft and execute information security addenda to all critical and high-risk supplier contracts</t>
  </si>
  <si>
    <t xml:space="preserve">ISO 27001:2022 A.5.19 / A.5.20 / SOC 2 CC9.2</t>
  </si>
  <si>
    <t xml:space="preserve">R-009</t>
  </si>
  <si>
    <t xml:space="preserve">IT Manager / Legal</t>
  </si>
  <si>
    <t xml:space="preserve">RM-016</t>
  </si>
  <si>
    <t xml:space="preserve">Finalise Statement of Applicability (RCA-P1-004); obtain management approval</t>
  </si>
  <si>
    <t xml:space="preserve">ISO 27001:2022 Clause 6.1.3(b)</t>
  </si>
  <si>
    <t xml:space="preserve">R-004</t>
  </si>
  <si>
    <t xml:space="preserve">Phase 2
(Short-Term)</t>
  </si>
  <si>
    <t xml:space="preserve">Jun 2024</t>
  </si>
  <si>
    <t xml:space="preserve">RM-017</t>
  </si>
  <si>
    <t xml:space="preserve">Implement quarterly access certification reviews; document results as audit evidence</t>
  </si>
  <si>
    <t xml:space="preserve">ISO 27001:2022 A.5.18 / SOC 2 CC6.3</t>
  </si>
  <si>
    <t xml:space="preserve">R-007</t>
  </si>
  <si>
    <t xml:space="preserve">RM-018</t>
  </si>
  <si>
    <t xml:space="preserve">Define and deploy network segmentation; enforce prod/dev environment separation</t>
  </si>
  <si>
    <t xml:space="preserve">ISO 27001:2022 A.8.22</t>
  </si>
  <si>
    <t xml:space="preserve">R-019</t>
  </si>
  <si>
    <t xml:space="preserve">Jul 2024</t>
  </si>
  <si>
    <t xml:space="preserve">RM-019</t>
  </si>
  <si>
    <t xml:space="preserve">Define configuration baselines and hardening standards for all production systems</t>
  </si>
  <si>
    <t xml:space="preserve">ISO 27001:2022 A.8.9 / SOC 2 CC6.2</t>
  </si>
  <si>
    <t xml:space="preserve">R-020</t>
  </si>
  <si>
    <t xml:space="preserve">RM-020</t>
  </si>
  <si>
    <t xml:space="preserve">Configure AWS CloudTrail and CloudWatch alerting for defined security events</t>
  </si>
  <si>
    <t xml:space="preserve">ISO 27001:2022 A.8.15 / A.8.16 / SOC 2 CC7.2</t>
  </si>
  <si>
    <t xml:space="preserve">R-013</t>
  </si>
  <si>
    <t xml:space="preserve">RM-021</t>
  </si>
  <si>
    <t xml:space="preserve">Develop vendor register; conduct tiered security assessments for all critical vendors</t>
  </si>
  <si>
    <t xml:space="preserve">ISO 27001:2022 A.5.19 / A.5.22 / SOC 2 CC9.2</t>
  </si>
  <si>
    <t xml:space="preserve">RM-022</t>
  </si>
  <si>
    <t xml:space="preserve">Secure Development</t>
  </si>
  <si>
    <t xml:space="preserve">Adopt Secure SDLC policy; integrate OWASP Top 10 into development process</t>
  </si>
  <si>
    <t xml:space="preserve">ISO 27001:2022 A.8.25 / A.8.26 / A.8.27</t>
  </si>
  <si>
    <t xml:space="preserve">R-021</t>
  </si>
  <si>
    <t xml:space="preserve">Development Lead</t>
  </si>
  <si>
    <t xml:space="preserve">Aug 2024</t>
  </si>
  <si>
    <t xml:space="preserve">RM-023</t>
  </si>
  <si>
    <t xml:space="preserve">Implement pre-deployment security testing (DAST/SAST) for all client-facing applications</t>
  </si>
  <si>
    <t xml:space="preserve">ISO 27001:2022 A.8.29 / SOC 2 CC8.1</t>
  </si>
  <si>
    <t xml:space="preserve">RM-024</t>
  </si>
  <si>
    <t xml:space="preserve">Medium</t>
  </si>
  <si>
    <t xml:space="preserve">Implement data masking / anonymisation for test environments; prohibit production data in test</t>
  </si>
  <si>
    <t xml:space="preserve">ISO 27001:2022 A.8.11 / A.8.33</t>
  </si>
  <si>
    <t xml:space="preserve">R-023</t>
  </si>
  <si>
    <t xml:space="preserve">RM-025</t>
  </si>
  <si>
    <t xml:space="preserve">Data Protection</t>
  </si>
  <si>
    <t xml:space="preserve">Develop information classification scheme; apply labels to all information assets</t>
  </si>
  <si>
    <t xml:space="preserve">ISO 27001:2022 A.5.12 / A.5.13</t>
  </si>
  <si>
    <t xml:space="preserve">R-026</t>
  </si>
  <si>
    <t xml:space="preserve">RM-026</t>
  </si>
  <si>
    <t xml:space="preserve">Implement encryption policy; enforce encryption at rest and in transit for all sensitive data</t>
  </si>
  <si>
    <t xml:space="preserve">ISO 27001:2022 A.8.24</t>
  </si>
  <si>
    <t xml:space="preserve">RM-027</t>
  </si>
  <si>
    <t xml:space="preserve">Business Continuity</t>
  </si>
  <si>
    <t xml:space="preserve">Define RTOs and RPOs for all client-facing services; document BCP and DRP</t>
  </si>
  <si>
    <t xml:space="preserve">ISO 27001:2022 A.5.29 / A.5.30 / SOC 2 A1.1 / A1.3</t>
  </si>
  <si>
    <t xml:space="preserve">R-024</t>
  </si>
  <si>
    <t xml:space="preserve">Large (&gt; 4 wk)</t>
  </si>
  <si>
    <t xml:space="preserve">Phase 3
(Medium-Term)</t>
  </si>
  <si>
    <t xml:space="preserve">IT Manager / Head of Ops</t>
  </si>
  <si>
    <t xml:space="preserve">Oct 2024</t>
  </si>
  <si>
    <t xml:space="preserve">RM-028</t>
  </si>
  <si>
    <t xml:space="preserve">Test backup restoration; conduct BCP tabletop exercise; document test results</t>
  </si>
  <si>
    <t xml:space="preserve">ISO 27001:2022 A.5.30 / SOC 2 A1.3</t>
  </si>
  <si>
    <t xml:space="preserve">Sep 2024</t>
  </si>
  <si>
    <t xml:space="preserve">Nov 2024</t>
  </si>
  <si>
    <t xml:space="preserve">RM-029</t>
  </si>
  <si>
    <t xml:space="preserve">Implement supplier monitoring process; conduct annual reviews of critical suppliers</t>
  </si>
  <si>
    <t xml:space="preserve">ISO 27001:2022 A.5.22</t>
  </si>
  <si>
    <t xml:space="preserve">RM-030</t>
  </si>
  <si>
    <t xml:space="preserve">Deploy phishing simulation programme; conduct at minimum two exercises per year</t>
  </si>
  <si>
    <t xml:space="preserve">ISO 27001:2022 A.6.3</t>
  </si>
  <si>
    <t xml:space="preserve">RM-031</t>
  </si>
  <si>
    <t xml:space="preserve">Conduct ISO 27001:2022 internal audit against all Annex A controls and Clauses 4–10</t>
  </si>
  <si>
    <t xml:space="preserve">ISO 27001:2022 Clause 9.2</t>
  </si>
  <si>
    <t xml:space="preserve">ISO / External Auditor</t>
  </si>
  <si>
    <t xml:space="preserve">Dec 2024</t>
  </si>
  <si>
    <t xml:space="preserve">RM-032</t>
  </si>
  <si>
    <t xml:space="preserve">Conduct ISO 27001:2022 Management Review per Clause 9.3; document outputs</t>
  </si>
  <si>
    <t xml:space="preserve">ISO 27001:2022 Clause 9.3</t>
  </si>
  <si>
    <t xml:space="preserve">Phase 4
(Long-Term)</t>
  </si>
  <si>
    <t xml:space="preserve">RM-033</t>
  </si>
  <si>
    <t xml:space="preserve">Engage accredited Certification Body for ISO 27001:2022 Stage 1 audit</t>
  </si>
  <si>
    <t xml:space="preserve">ISO 27001:2022 Certification</t>
  </si>
  <si>
    <t xml:space="preserve">ISO / Senior Management</t>
  </si>
  <si>
    <t xml:space="preserve">Feb 2025</t>
  </si>
  <si>
    <t xml:space="preserve">RM-034</t>
  </si>
  <si>
    <t xml:space="preserve">Commission SOC 2 Type I readiness review with independent assessor</t>
  </si>
  <si>
    <t xml:space="preserve">SOC 2 — All criteria</t>
  </si>
  <si>
    <t xml:space="preserve">Jan 2025</t>
  </si>
  <si>
    <t xml:space="preserve">RESOLUTE COMPLIANCE ADVISORY LLP  ·  Remediation Timeline  ·  RCA-P1-006  ·  Brightpath Technologies Pvt. Ltd.</t>
  </si>
  <si>
    <t xml:space="preserve">February 2024  →  February 2025</t>
  </si>
  <si>
    <t xml:space="preserve">Shaded cells indicate active remediation period for each action.  Critical = Red  ·  High = Amber  ·  Medium = Gold  ·  Low = Green</t>
  </si>
  <si>
    <t xml:space="preserve">Feb
2024</t>
  </si>
  <si>
    <t xml:space="preserve">Mar
2024</t>
  </si>
  <si>
    <t xml:space="preserve">Apr
2024</t>
  </si>
  <si>
    <t xml:space="preserve">May
2024</t>
  </si>
  <si>
    <t xml:space="preserve">Jun
2024</t>
  </si>
  <si>
    <t xml:space="preserve">Jul
2024</t>
  </si>
  <si>
    <t xml:space="preserve">Aug
2024</t>
  </si>
  <si>
    <t xml:space="preserve">Sep
2024</t>
  </si>
  <si>
    <t xml:space="preserve">Oct
2024</t>
  </si>
  <si>
    <t xml:space="preserve">Nov
2024</t>
  </si>
  <si>
    <t xml:space="preserve">Dec
2024</t>
  </si>
  <si>
    <t xml:space="preserve">Jan
2025</t>
  </si>
  <si>
    <t xml:space="preserve">Feb
2025</t>
  </si>
  <si>
    <t xml:space="preserve">●</t>
  </si>
  <si>
    <t xml:space="preserve">Define risk assessment methodology: criteria, likelihood/impact scale, risk...</t>
  </si>
  <si>
    <t xml:space="preserve">Conduct enterprise-wide information asset inventory; assign asset owners; c...</t>
  </si>
  <si>
    <t xml:space="preserve">Conduct initial ISO 27001:2022 risk assessment using approved methodology; ...</t>
  </si>
  <si>
    <t xml:space="preserve">━</t>
  </si>
  <si>
    <t xml:space="preserve">Develop and implement Access Control Policy; enforce least-privilege across...</t>
  </si>
  <si>
    <t xml:space="preserve">Launch mandatory security awareness training for all staff; track completio...</t>
  </si>
  <si>
    <t xml:space="preserve">Implement pre-employment background screening policy; apply to all new hire...</t>
  </si>
  <si>
    <t xml:space="preserve">Develop offboarding checklist; mandate access revocation within 24 hours of...</t>
  </si>
  <si>
    <t xml:space="preserve">Develop and test Incident Response Plan; define severity levels, roles, and...</t>
  </si>
  <si>
    <t xml:space="preserve">Deploy vulnerability scanning (monthly cadence); define patching SLAs: Crit...</t>
  </si>
  <si>
    <t xml:space="preserve">Draft and execute information security addenda to all critical and high-ris...</t>
  </si>
  <si>
    <t xml:space="preserve">Finalise Statement of Applicability (RCA-P1-004); obtain management approva...</t>
  </si>
  <si>
    <t xml:space="preserve">Implement quarterly access certification reviews; document results as audit...</t>
  </si>
  <si>
    <t xml:space="preserve">Define and deploy network segmentation; enforce prod/dev environment separa...</t>
  </si>
  <si>
    <t xml:space="preserve">Define configuration baselines and hardening standards for all production s...</t>
  </si>
  <si>
    <t xml:space="preserve">Configure AWS CloudTrail and CloudWatch alerting for defined security event...</t>
  </si>
  <si>
    <t xml:space="preserve">Develop vendor register; conduct tiered security assessments for all critic...</t>
  </si>
  <si>
    <t xml:space="preserve">Implement pre-deployment security testing (DAST/SAST) for all client-facing...</t>
  </si>
  <si>
    <t xml:space="preserve">Implement data masking / anonymisation for test environments; prohibit prod...</t>
  </si>
  <si>
    <t xml:space="preserve">Develop information classification scheme; apply labels to all information ...</t>
  </si>
  <si>
    <t xml:space="preserve">Implement encryption policy; enforce encryption at rest and in transit for ...</t>
  </si>
  <si>
    <t xml:space="preserve">Test backup restoration; conduct BCP tabletop exercise; document test resul...</t>
  </si>
  <si>
    <t xml:space="preserve">Implement supplier monitoring process; conduct annual reviews of critical s...</t>
  </si>
  <si>
    <t xml:space="preserve">Deploy phishing simulation programme; conduct at minimum two exercises per ...</t>
  </si>
  <si>
    <t xml:space="preserve">Conduct ISO 27001:2022 internal audit against all Annex A controls and Clau...</t>
  </si>
  <si>
    <t xml:space="preserve">REMEDIATION ROADMAP — SUMMARY DASHBOARD</t>
  </si>
  <si>
    <t xml:space="preserve">Brightpath Technologies Pvt. Ltd.  ·  RCA-P1-006  ·  28 February 2024</t>
  </si>
  <si>
    <t xml:space="preserve">OVERALL ROADMAP SUMMARY</t>
  </si>
  <si>
    <t xml:space="preserve">Low</t>
  </si>
  <si>
    <t xml:space="preserve">Completed</t>
  </si>
  <si>
    <t xml:space="preserve">COMPLETION RATE (update Status in Roadmap sheet as actions are completed)</t>
  </si>
  <si>
    <t xml:space="preserve">Metric</t>
  </si>
  <si>
    <t xml:space="preserve">Value</t>
  </si>
  <si>
    <t xml:space="preserve">Overall Completion %</t>
  </si>
  <si>
    <t xml:space="preserve">Critical Actions Completed</t>
  </si>
  <si>
    <t xml:space="preserve">High Actions Completed</t>
  </si>
  <si>
    <t xml:space="preserve">Medium Actions Completed</t>
  </si>
  <si>
    <t xml:space="preserve">ACTIONS BY PRIORITY</t>
  </si>
  <si>
    <t xml:space="preserve">Total</t>
  </si>
  <si>
    <t xml:space="preserve">In Progress</t>
  </si>
  <si>
    <t xml:space="preserve">% Complete</t>
  </si>
  <si>
    <t xml:space="preserve">ACTIONS BY DOMAIN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</si>
</sst>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1B2A4A"/>
      <name val="Arial"/>
      <family val="0"/>
      <charset val="1"/>
    </font>
    <font>
      <b val="true"/>
      <sz val="20"/>
      <color rgb="FF1B2A4A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C8A9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1A1A1A"/>
      <name val="Arial"/>
      <family val="0"/>
      <charset val="1"/>
    </font>
    <font>
      <sz val="8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sz val="8"/>
      <color rgb="FFE67E22"/>
      <name val="Arial"/>
      <family val="0"/>
      <charset val="1"/>
    </font>
    <font>
      <b val="true"/>
      <sz val="9"/>
      <color rgb="FF7D6608"/>
      <name val="Arial"/>
      <family val="0"/>
      <charset val="1"/>
    </font>
    <font>
      <sz val="8"/>
      <color rgb="FF7D6608"/>
      <name val="Arial"/>
      <family val="0"/>
      <charset val="1"/>
    </font>
    <font>
      <sz val="8"/>
      <color rgb="FF1E844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B2A4A"/>
      <name val="Arial"/>
      <family val="0"/>
      <charset val="1"/>
    </font>
    <font>
      <b val="true"/>
      <sz val="8"/>
      <color rgb="FFC0392B"/>
      <name val="Arial"/>
      <family val="0"/>
      <charset val="1"/>
    </font>
    <font>
      <b val="true"/>
      <sz val="8"/>
      <color rgb="FFE67E22"/>
      <name val="Arial"/>
      <family val="0"/>
      <charset val="1"/>
    </font>
    <font>
      <b val="true"/>
      <sz val="8"/>
      <color rgb="FF7D660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E67E22"/>
      <name val="Arial"/>
      <family val="0"/>
      <charset val="1"/>
    </font>
    <font>
      <b val="true"/>
      <sz val="20"/>
      <color rgb="FF7D6608"/>
      <name val="Arial"/>
      <family val="0"/>
      <charset val="1"/>
    </font>
    <font>
      <b val="true"/>
      <sz val="20"/>
      <color rgb="FF1E8449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1B2A4A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7D6608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10"/>
      <color rgb="FF1E8449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8A951"/>
        <bgColor rgb="FFE67E22"/>
      </patternFill>
    </fill>
    <fill>
      <patternFill patternType="solid">
        <fgColor rgb="FFEEF1F7"/>
        <bgColor rgb="FFEAF2F8"/>
      </patternFill>
    </fill>
    <fill>
      <patternFill patternType="solid">
        <fgColor rgb="FFFFFFFF"/>
        <bgColor rgb="FFFEF9E7"/>
      </patternFill>
    </fill>
    <fill>
      <patternFill patternType="solid">
        <fgColor rgb="FFE8ECF4"/>
        <bgColor rgb="FFEAF2F8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FEF9E7"/>
        <bgColor rgb="FFFEF5E7"/>
      </patternFill>
    </fill>
    <fill>
      <patternFill patternType="solid">
        <fgColor rgb="FFF4ECF7"/>
        <bgColor rgb="FFEEF1F7"/>
      </patternFill>
    </fill>
    <fill>
      <patternFill patternType="solid">
        <fgColor rgb="FFFDEDEC"/>
        <bgColor rgb="FFF4ECF7"/>
      </patternFill>
    </fill>
    <fill>
      <patternFill patternType="solid">
        <fgColor rgb="FFFEF5E7"/>
        <bgColor rgb="FFFEF9E7"/>
      </patternFill>
    </fill>
    <fill>
      <patternFill patternType="solid">
        <fgColor rgb="FFEAF4EA"/>
        <bgColor rgb="FFEAF2F8"/>
      </patternFill>
    </fill>
    <fill>
      <patternFill patternType="solid">
        <fgColor rgb="FFEAF2F8"/>
        <bgColor rgb="FFEEF1F7"/>
      </patternFill>
    </fill>
    <fill>
      <patternFill patternType="solid">
        <fgColor rgb="FFFCF3CF"/>
        <bgColor rgb="FFFDEBD0"/>
      </patternFill>
    </fill>
    <fill>
      <patternFill patternType="solid">
        <fgColor rgb="FFEAFAF1"/>
        <bgColor rgb="FFEAF4EA"/>
      </patternFill>
    </fill>
    <fill>
      <patternFill patternType="solid">
        <fgColor rgb="FFD5F5E3"/>
        <bgColor rgb="FFEAF4EA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8A951"/>
      </left>
      <right style="medium">
        <color rgb="FFC8A951"/>
      </right>
      <top style="medium">
        <color rgb="FFC8A951"/>
      </top>
      <bottom/>
      <diagonal/>
    </border>
    <border diagonalUp="false" diagonalDown="false">
      <left style="medium">
        <color rgb="FFC8A951"/>
      </left>
      <right style="medium">
        <color rgb="FFC8A951"/>
      </right>
      <top/>
      <bottom/>
      <diagonal/>
    </border>
    <border diagonalUp="false" diagonalDown="false">
      <left style="medium">
        <color rgb="FFC8A951"/>
      </left>
      <right style="medium">
        <color rgb="FFC8A951"/>
      </right>
      <top/>
      <bottom style="medium">
        <color rgb="FFC8A951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0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EEF1F7"/>
      <rgbColor rgb="FF993366"/>
      <rgbColor rgb="FFFCF3CF"/>
      <rgbColor rgb="FFEAFAF1"/>
      <rgbColor rgb="FF660066"/>
      <rgbColor rgb="FFFF8080"/>
      <rgbColor rgb="FF0066CC"/>
      <rgbColor rgb="FFE8ECF4"/>
      <rgbColor rgb="FF000080"/>
      <rgbColor rgb="FFFF00FF"/>
      <rgbColor rgb="FFFEF5E7"/>
      <rgbColor rgb="FF00FFFF"/>
      <rgbColor rgb="FF800080"/>
      <rgbColor rgb="FF800000"/>
      <rgbColor rgb="FF008080"/>
      <rgbColor rgb="FF0000FF"/>
      <rgbColor rgb="FF00CCFF"/>
      <rgbColor rgb="FFEAF2F8"/>
      <rgbColor rgb="FFD5F5E3"/>
      <rgbColor rgb="FFFDEBD0"/>
      <rgbColor rgb="FFEAF4EA"/>
      <rgbColor rgb="FFFDEDEC"/>
      <rgbColor rgb="FFF4ECF7"/>
      <rgbColor rgb="FFFADBD8"/>
      <rgbColor rgb="FF3366FF"/>
      <rgbColor rgb="FF33CCCC"/>
      <rgbColor rgb="FF99CC00"/>
      <rgbColor rgb="FFFFCC00"/>
      <rgbColor rgb="FFFF9900"/>
      <rgbColor rgb="FFE67E22"/>
      <rgbColor rgb="FF666666"/>
      <rgbColor rgb="FFC8A951"/>
      <rgbColor rgb="FF003366"/>
      <rgbColor rgb="FF1E8449"/>
      <rgbColor rgb="FF003300"/>
      <rgbColor rgb="FF1A1A1A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4"/>
  </cols>
  <sheetData>
    <row r="1" customFormat="false" ht="18" hidden="false" customHeight="true" outlineLevel="0" collapsed="false"/>
    <row r="2" customFormat="false" ht="27.75" hidden="false" customHeight="true" outlineLevel="0" collapsed="false">
      <c r="B2" s="1" t="s">
        <v>0</v>
      </c>
      <c r="C2" s="1"/>
    </row>
    <row r="3" customFormat="false" ht="27.75" hidden="false" customHeight="true" outlineLevel="0" collapsed="false">
      <c r="B3" s="1"/>
      <c r="C3" s="1"/>
    </row>
    <row r="4" customFormat="false" ht="18" hidden="false" customHeight="true" outlineLevel="0" collapsed="false">
      <c r="B4" s="2" t="s">
        <v>1</v>
      </c>
      <c r="C4" s="2"/>
    </row>
    <row r="5" customFormat="false" ht="3.75" hidden="false" customHeight="true" outlineLevel="0" collapsed="false">
      <c r="B5" s="3"/>
      <c r="C5" s="3"/>
    </row>
    <row r="6" customFormat="false" ht="18" hidden="false" customHeight="true" outlineLevel="0" collapsed="false"/>
    <row r="7" customFormat="false" ht="27.75" hidden="false" customHeight="true" outlineLevel="0" collapsed="false">
      <c r="B7" s="4" t="s">
        <v>2</v>
      </c>
      <c r="C7" s="4"/>
    </row>
    <row r="8" customFormat="false" ht="18" hidden="false" customHeight="true" outlineLevel="0" collapsed="false">
      <c r="B8" s="5" t="s">
        <v>3</v>
      </c>
      <c r="C8" s="5"/>
    </row>
    <row r="9" customFormat="false" ht="9.75" hidden="false" customHeight="true" outlineLevel="0" collapsed="false"/>
    <row r="10" customFormat="false" ht="21.75" hidden="false" customHeight="true" outlineLevel="0" collapsed="false">
      <c r="B10" s="6" t="s">
        <v>4</v>
      </c>
      <c r="C10" s="6"/>
    </row>
    <row r="11" customFormat="false" ht="21.75" hidden="false" customHeight="true" outlineLevel="0" collapsed="false">
      <c r="B11" s="7" t="s">
        <v>5</v>
      </c>
      <c r="C11" s="7"/>
    </row>
    <row r="12" customFormat="false" ht="21.75" hidden="false" customHeight="true" outlineLevel="0" collapsed="false">
      <c r="B12" s="8" t="s">
        <v>6</v>
      </c>
      <c r="C12" s="8"/>
    </row>
    <row r="13" customFormat="false" ht="21.75" hidden="false" customHeight="true" outlineLevel="0" collapsed="false">
      <c r="B13" s="9" t="s">
        <v>7</v>
      </c>
      <c r="C13" s="9"/>
    </row>
    <row r="14" customFormat="false" ht="9.75" hidden="false" customHeight="true" outlineLevel="0" collapsed="false"/>
    <row r="15" customFormat="false" ht="19.5" hidden="false" customHeight="true" outlineLevel="0" collapsed="false">
      <c r="B15" s="10" t="s">
        <v>8</v>
      </c>
      <c r="C15" s="11" t="s">
        <v>9</v>
      </c>
    </row>
    <row r="16" customFormat="false" ht="19.5" hidden="false" customHeight="true" outlineLevel="0" collapsed="false">
      <c r="B16" s="10" t="s">
        <v>10</v>
      </c>
      <c r="C16" s="11" t="s">
        <v>11</v>
      </c>
    </row>
    <row r="17" customFormat="false" ht="19.5" hidden="false" customHeight="true" outlineLevel="0" collapsed="false">
      <c r="B17" s="10" t="s">
        <v>12</v>
      </c>
      <c r="C17" s="11" t="s">
        <v>13</v>
      </c>
    </row>
    <row r="18" customFormat="false" ht="9.75" hidden="false" customHeight="true" outlineLevel="0" collapsed="false"/>
    <row r="19" customFormat="false" ht="18" hidden="false" customHeight="true" outlineLevel="0" collapsed="false">
      <c r="B19" s="12" t="s">
        <v>14</v>
      </c>
      <c r="C19" s="12" t="s">
        <v>15</v>
      </c>
    </row>
    <row r="20" customFormat="false" ht="18" hidden="false" customHeight="true" outlineLevel="0" collapsed="false">
      <c r="B20" s="13" t="s">
        <v>16</v>
      </c>
      <c r="C20" s="14" t="s">
        <v>17</v>
      </c>
    </row>
    <row r="21" customFormat="false" ht="18" hidden="false" customHeight="true" outlineLevel="0" collapsed="false">
      <c r="B21" s="15" t="s">
        <v>18</v>
      </c>
      <c r="C21" s="16" t="s">
        <v>19</v>
      </c>
    </row>
    <row r="22" customFormat="false" ht="18" hidden="false" customHeight="true" outlineLevel="0" collapsed="false">
      <c r="B22" s="13" t="s">
        <v>20</v>
      </c>
      <c r="C22" s="14" t="s">
        <v>5</v>
      </c>
    </row>
    <row r="23" customFormat="false" ht="18" hidden="false" customHeight="true" outlineLevel="0" collapsed="false">
      <c r="B23" s="15" t="s">
        <v>21</v>
      </c>
      <c r="C23" s="16" t="s">
        <v>22</v>
      </c>
    </row>
    <row r="24" customFormat="false" ht="18" hidden="false" customHeight="true" outlineLevel="0" collapsed="false">
      <c r="B24" s="13" t="s">
        <v>23</v>
      </c>
      <c r="C24" s="14" t="s">
        <v>24</v>
      </c>
    </row>
    <row r="25" customFormat="false" ht="18" hidden="false" customHeight="true" outlineLevel="0" collapsed="false">
      <c r="B25" s="15" t="s">
        <v>25</v>
      </c>
      <c r="C25" s="16" t="s">
        <v>26</v>
      </c>
    </row>
    <row r="26" customFormat="false" ht="18" hidden="false" customHeight="true" outlineLevel="0" collapsed="false">
      <c r="B26" s="13" t="s">
        <v>27</v>
      </c>
      <c r="C26" s="14" t="s">
        <v>28</v>
      </c>
    </row>
    <row r="27" customFormat="false" ht="18" hidden="false" customHeight="true" outlineLevel="0" collapsed="false">
      <c r="B27" s="15" t="s">
        <v>8</v>
      </c>
      <c r="C27" s="16" t="s">
        <v>9</v>
      </c>
    </row>
    <row r="28" customFormat="false" ht="18" hidden="false" customHeight="true" outlineLevel="0" collapsed="false">
      <c r="B28" s="13" t="s">
        <v>12</v>
      </c>
      <c r="C28" s="14" t="s">
        <v>13</v>
      </c>
    </row>
    <row r="29" customFormat="false" ht="18" hidden="false" customHeight="true" outlineLevel="0" collapsed="false">
      <c r="B29" s="15" t="s">
        <v>29</v>
      </c>
      <c r="C29" s="16" t="s">
        <v>30</v>
      </c>
    </row>
    <row r="30" customFormat="false" ht="18" hidden="false" customHeight="true" outlineLevel="0" collapsed="false">
      <c r="B30" s="13" t="s">
        <v>31</v>
      </c>
      <c r="C30" s="14" t="s">
        <v>32</v>
      </c>
    </row>
    <row r="31" customFormat="false" ht="18" hidden="false" customHeight="true" outlineLevel="0" collapsed="false">
      <c r="B31" s="15" t="s">
        <v>33</v>
      </c>
      <c r="C31" s="16" t="s">
        <v>34</v>
      </c>
    </row>
    <row r="32" customFormat="false" ht="18" hidden="false" customHeight="true" outlineLevel="0" collapsed="false"/>
    <row r="33" customFormat="false" ht="36" hidden="false" customHeight="true" outlineLevel="0" collapsed="false">
      <c r="B33" s="17" t="s">
        <v>35</v>
      </c>
      <c r="C33" s="17"/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</sheetData>
  <mergeCells count="10">
    <mergeCell ref="B2:C3"/>
    <mergeCell ref="B4:C4"/>
    <mergeCell ref="B5:C5"/>
    <mergeCell ref="B7:C7"/>
    <mergeCell ref="B8:C8"/>
    <mergeCell ref="B10:C10"/>
    <mergeCell ref="B11:C11"/>
    <mergeCell ref="B12:C12"/>
    <mergeCell ref="B13:C13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1" min="10" style="0" width="10"/>
    <col collapsed="false" customWidth="true" hidden="false" outlineLevel="0" max="12" min="12" style="0" width="18"/>
  </cols>
  <sheetData>
    <row r="1" customFormat="false" ht="25.5" hidden="false" customHeight="true" outlineLevel="0" collapsed="false">
      <c r="A1" s="18" t="s">
        <v>36</v>
      </c>
      <c r="B1" s="18"/>
      <c r="C1" s="18"/>
      <c r="D1" s="18"/>
      <c r="E1" s="18"/>
      <c r="F1" s="18"/>
      <c r="G1" s="18"/>
      <c r="H1" s="18"/>
      <c r="I1" s="18"/>
      <c r="J1" s="18"/>
      <c r="K1" s="19" t="s">
        <v>32</v>
      </c>
      <c r="L1" s="19"/>
    </row>
    <row r="2" customFormat="false" ht="18" hidden="false" customHeight="true" outlineLevel="0" collapsed="false">
      <c r="A2" s="20" t="s">
        <v>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43.5" hidden="false" customHeight="true" outlineLevel="0" collapsed="false">
      <c r="A3" s="21" t="s">
        <v>38</v>
      </c>
      <c r="B3" s="21" t="s">
        <v>39</v>
      </c>
      <c r="C3" s="21" t="s">
        <v>40</v>
      </c>
      <c r="D3" s="21" t="s">
        <v>41</v>
      </c>
      <c r="E3" s="21" t="s">
        <v>42</v>
      </c>
      <c r="F3" s="21" t="s">
        <v>43</v>
      </c>
      <c r="G3" s="21" t="s">
        <v>44</v>
      </c>
      <c r="H3" s="21" t="s">
        <v>45</v>
      </c>
      <c r="I3" s="21" t="s">
        <v>46</v>
      </c>
      <c r="J3" s="21" t="s">
        <v>47</v>
      </c>
      <c r="K3" s="21" t="s">
        <v>48</v>
      </c>
      <c r="L3" s="21" t="s">
        <v>33</v>
      </c>
    </row>
    <row r="4" customFormat="false" ht="43.5" hidden="false" customHeight="true" outlineLevel="0" collapsed="false">
      <c r="A4" s="22" t="s">
        <v>49</v>
      </c>
      <c r="B4" s="23" t="s">
        <v>50</v>
      </c>
      <c r="C4" s="24" t="s">
        <v>51</v>
      </c>
      <c r="D4" s="24" t="s">
        <v>52</v>
      </c>
      <c r="E4" s="25" t="s">
        <v>53</v>
      </c>
      <c r="F4" s="26" t="s">
        <v>54</v>
      </c>
      <c r="G4" s="27" t="s">
        <v>55</v>
      </c>
      <c r="H4" s="28" t="s">
        <v>56</v>
      </c>
      <c r="I4" s="24" t="s">
        <v>57</v>
      </c>
      <c r="J4" s="29" t="s">
        <v>58</v>
      </c>
      <c r="K4" s="29" t="s">
        <v>58</v>
      </c>
      <c r="L4" s="30" t="s">
        <v>59</v>
      </c>
    </row>
    <row r="5" customFormat="false" ht="43.5" hidden="false" customHeight="true" outlineLevel="0" collapsed="false">
      <c r="A5" s="31" t="s">
        <v>60</v>
      </c>
      <c r="B5" s="23" t="s">
        <v>50</v>
      </c>
      <c r="C5" s="32" t="s">
        <v>61</v>
      </c>
      <c r="D5" s="32" t="s">
        <v>62</v>
      </c>
      <c r="E5" s="33" t="s">
        <v>63</v>
      </c>
      <c r="F5" s="34" t="s">
        <v>64</v>
      </c>
      <c r="G5" s="35" t="s">
        <v>55</v>
      </c>
      <c r="H5" s="28" t="s">
        <v>56</v>
      </c>
      <c r="I5" s="32" t="s">
        <v>65</v>
      </c>
      <c r="J5" s="36" t="s">
        <v>58</v>
      </c>
      <c r="K5" s="36" t="s">
        <v>58</v>
      </c>
      <c r="L5" s="30" t="s">
        <v>59</v>
      </c>
    </row>
    <row r="6" customFormat="false" ht="43.5" hidden="false" customHeight="true" outlineLevel="0" collapsed="false">
      <c r="A6" s="22" t="s">
        <v>66</v>
      </c>
      <c r="B6" s="23" t="s">
        <v>50</v>
      </c>
      <c r="C6" s="24" t="s">
        <v>51</v>
      </c>
      <c r="D6" s="24" t="s">
        <v>67</v>
      </c>
      <c r="E6" s="25" t="s">
        <v>68</v>
      </c>
      <c r="F6" s="26" t="s">
        <v>54</v>
      </c>
      <c r="G6" s="27" t="s">
        <v>55</v>
      </c>
      <c r="H6" s="28" t="s">
        <v>56</v>
      </c>
      <c r="I6" s="24" t="s">
        <v>69</v>
      </c>
      <c r="J6" s="29" t="s">
        <v>58</v>
      </c>
      <c r="K6" s="29" t="s">
        <v>70</v>
      </c>
      <c r="L6" s="30" t="s">
        <v>59</v>
      </c>
    </row>
    <row r="7" customFormat="false" ht="43.5" hidden="false" customHeight="true" outlineLevel="0" collapsed="false">
      <c r="A7" s="22" t="s">
        <v>71</v>
      </c>
      <c r="B7" s="23" t="s">
        <v>50</v>
      </c>
      <c r="C7" s="24" t="s">
        <v>51</v>
      </c>
      <c r="D7" s="24" t="s">
        <v>72</v>
      </c>
      <c r="E7" s="25" t="s">
        <v>73</v>
      </c>
      <c r="F7" s="26" t="s">
        <v>54</v>
      </c>
      <c r="G7" s="27" t="s">
        <v>55</v>
      </c>
      <c r="H7" s="28" t="s">
        <v>56</v>
      </c>
      <c r="I7" s="24" t="s">
        <v>69</v>
      </c>
      <c r="J7" s="29" t="s">
        <v>58</v>
      </c>
      <c r="K7" s="29" t="s">
        <v>70</v>
      </c>
      <c r="L7" s="30" t="s">
        <v>59</v>
      </c>
    </row>
    <row r="8" customFormat="false" ht="43.5" hidden="false" customHeight="true" outlineLevel="0" collapsed="false">
      <c r="A8" s="22" t="s">
        <v>74</v>
      </c>
      <c r="B8" s="23" t="s">
        <v>50</v>
      </c>
      <c r="C8" s="24" t="s">
        <v>51</v>
      </c>
      <c r="D8" s="24" t="s">
        <v>75</v>
      </c>
      <c r="E8" s="25" t="s">
        <v>76</v>
      </c>
      <c r="F8" s="26" t="s">
        <v>77</v>
      </c>
      <c r="G8" s="27" t="s">
        <v>55</v>
      </c>
      <c r="H8" s="28" t="s">
        <v>56</v>
      </c>
      <c r="I8" s="24" t="s">
        <v>69</v>
      </c>
      <c r="J8" s="29" t="s">
        <v>58</v>
      </c>
      <c r="K8" s="29" t="s">
        <v>70</v>
      </c>
      <c r="L8" s="30" t="s">
        <v>59</v>
      </c>
    </row>
    <row r="9" customFormat="false" ht="43.5" hidden="false" customHeight="true" outlineLevel="0" collapsed="false">
      <c r="A9" s="22" t="s">
        <v>78</v>
      </c>
      <c r="B9" s="23" t="s">
        <v>50</v>
      </c>
      <c r="C9" s="24" t="s">
        <v>51</v>
      </c>
      <c r="D9" s="24" t="s">
        <v>79</v>
      </c>
      <c r="E9" s="25" t="s">
        <v>80</v>
      </c>
      <c r="F9" s="26" t="s">
        <v>81</v>
      </c>
      <c r="G9" s="27" t="s">
        <v>82</v>
      </c>
      <c r="H9" s="28" t="s">
        <v>56</v>
      </c>
      <c r="I9" s="24" t="s">
        <v>65</v>
      </c>
      <c r="J9" s="29" t="s">
        <v>70</v>
      </c>
      <c r="K9" s="29" t="s">
        <v>83</v>
      </c>
      <c r="L9" s="30" t="s">
        <v>59</v>
      </c>
    </row>
    <row r="10" customFormat="false" ht="43.5" hidden="false" customHeight="true" outlineLevel="0" collapsed="false">
      <c r="A10" s="22" t="s">
        <v>84</v>
      </c>
      <c r="B10" s="23" t="s">
        <v>50</v>
      </c>
      <c r="C10" s="24" t="s">
        <v>51</v>
      </c>
      <c r="D10" s="24" t="s">
        <v>85</v>
      </c>
      <c r="E10" s="25" t="s">
        <v>86</v>
      </c>
      <c r="F10" s="26" t="s">
        <v>77</v>
      </c>
      <c r="G10" s="27" t="s">
        <v>82</v>
      </c>
      <c r="H10" s="28" t="s">
        <v>56</v>
      </c>
      <c r="I10" s="24" t="s">
        <v>69</v>
      </c>
      <c r="J10" s="29" t="s">
        <v>70</v>
      </c>
      <c r="K10" s="29" t="s">
        <v>87</v>
      </c>
      <c r="L10" s="30" t="s">
        <v>59</v>
      </c>
    </row>
    <row r="11" customFormat="false" ht="43.5" hidden="false" customHeight="true" outlineLevel="0" collapsed="false">
      <c r="A11" s="31" t="s">
        <v>88</v>
      </c>
      <c r="B11" s="23" t="s">
        <v>50</v>
      </c>
      <c r="C11" s="32" t="s">
        <v>61</v>
      </c>
      <c r="D11" s="32" t="s">
        <v>89</v>
      </c>
      <c r="E11" s="33" t="s">
        <v>90</v>
      </c>
      <c r="F11" s="34" t="s">
        <v>91</v>
      </c>
      <c r="G11" s="35" t="s">
        <v>82</v>
      </c>
      <c r="H11" s="28" t="s">
        <v>56</v>
      </c>
      <c r="I11" s="32" t="s">
        <v>65</v>
      </c>
      <c r="J11" s="36" t="s">
        <v>70</v>
      </c>
      <c r="K11" s="36" t="s">
        <v>83</v>
      </c>
      <c r="L11" s="30" t="s">
        <v>59</v>
      </c>
    </row>
    <row r="12" customFormat="false" ht="43.5" hidden="false" customHeight="true" outlineLevel="0" collapsed="false">
      <c r="A12" s="31" t="s">
        <v>92</v>
      </c>
      <c r="B12" s="30" t="s">
        <v>93</v>
      </c>
      <c r="C12" s="32" t="s">
        <v>61</v>
      </c>
      <c r="D12" s="32" t="s">
        <v>94</v>
      </c>
      <c r="E12" s="33" t="s">
        <v>95</v>
      </c>
      <c r="F12" s="34" t="s">
        <v>96</v>
      </c>
      <c r="G12" s="35" t="s">
        <v>55</v>
      </c>
      <c r="H12" s="28" t="s">
        <v>56</v>
      </c>
      <c r="I12" s="32" t="s">
        <v>65</v>
      </c>
      <c r="J12" s="36" t="s">
        <v>70</v>
      </c>
      <c r="K12" s="36" t="s">
        <v>70</v>
      </c>
      <c r="L12" s="30" t="s">
        <v>59</v>
      </c>
    </row>
    <row r="13" customFormat="false" ht="43.5" hidden="false" customHeight="true" outlineLevel="0" collapsed="false">
      <c r="A13" s="37" t="s">
        <v>97</v>
      </c>
      <c r="B13" s="30" t="s">
        <v>93</v>
      </c>
      <c r="C13" s="38" t="s">
        <v>98</v>
      </c>
      <c r="D13" s="38" t="s">
        <v>99</v>
      </c>
      <c r="E13" s="39" t="s">
        <v>100</v>
      </c>
      <c r="F13" s="40" t="s">
        <v>101</v>
      </c>
      <c r="G13" s="41" t="s">
        <v>82</v>
      </c>
      <c r="H13" s="28" t="s">
        <v>56</v>
      </c>
      <c r="I13" s="38" t="s">
        <v>102</v>
      </c>
      <c r="J13" s="42" t="s">
        <v>70</v>
      </c>
      <c r="K13" s="42" t="s">
        <v>87</v>
      </c>
      <c r="L13" s="30" t="s">
        <v>59</v>
      </c>
    </row>
    <row r="14" customFormat="false" ht="43.5" hidden="false" customHeight="true" outlineLevel="0" collapsed="false">
      <c r="A14" s="37" t="s">
        <v>103</v>
      </c>
      <c r="B14" s="30" t="s">
        <v>93</v>
      </c>
      <c r="C14" s="38" t="s">
        <v>98</v>
      </c>
      <c r="D14" s="38" t="s">
        <v>104</v>
      </c>
      <c r="E14" s="39" t="s">
        <v>105</v>
      </c>
      <c r="F14" s="40" t="s">
        <v>106</v>
      </c>
      <c r="G14" s="41" t="s">
        <v>55</v>
      </c>
      <c r="H14" s="28" t="s">
        <v>56</v>
      </c>
      <c r="I14" s="38" t="s">
        <v>107</v>
      </c>
      <c r="J14" s="42" t="s">
        <v>70</v>
      </c>
      <c r="K14" s="42" t="s">
        <v>83</v>
      </c>
      <c r="L14" s="30" t="s">
        <v>59</v>
      </c>
    </row>
    <row r="15" customFormat="false" ht="43.5" hidden="false" customHeight="true" outlineLevel="0" collapsed="false">
      <c r="A15" s="37" t="s">
        <v>108</v>
      </c>
      <c r="B15" s="30" t="s">
        <v>93</v>
      </c>
      <c r="C15" s="38" t="s">
        <v>98</v>
      </c>
      <c r="D15" s="38" t="s">
        <v>109</v>
      </c>
      <c r="E15" s="39" t="s">
        <v>110</v>
      </c>
      <c r="F15" s="40" t="s">
        <v>64</v>
      </c>
      <c r="G15" s="41" t="s">
        <v>55</v>
      </c>
      <c r="H15" s="28" t="s">
        <v>56</v>
      </c>
      <c r="I15" s="38" t="s">
        <v>102</v>
      </c>
      <c r="J15" s="42" t="s">
        <v>70</v>
      </c>
      <c r="K15" s="42" t="s">
        <v>70</v>
      </c>
      <c r="L15" s="30" t="s">
        <v>59</v>
      </c>
    </row>
    <row r="16" customFormat="false" ht="43.5" hidden="false" customHeight="true" outlineLevel="0" collapsed="false">
      <c r="A16" s="43" t="s">
        <v>111</v>
      </c>
      <c r="B16" s="23" t="s">
        <v>50</v>
      </c>
      <c r="C16" s="44" t="s">
        <v>112</v>
      </c>
      <c r="D16" s="44" t="s">
        <v>113</v>
      </c>
      <c r="E16" s="45" t="s">
        <v>114</v>
      </c>
      <c r="F16" s="46" t="s">
        <v>115</v>
      </c>
      <c r="G16" s="47" t="s">
        <v>82</v>
      </c>
      <c r="H16" s="28" t="s">
        <v>56</v>
      </c>
      <c r="I16" s="44" t="s">
        <v>65</v>
      </c>
      <c r="J16" s="48" t="s">
        <v>70</v>
      </c>
      <c r="K16" s="48" t="s">
        <v>87</v>
      </c>
      <c r="L16" s="30" t="s">
        <v>59</v>
      </c>
    </row>
    <row r="17" customFormat="false" ht="43.5" hidden="false" customHeight="true" outlineLevel="0" collapsed="false">
      <c r="A17" s="49" t="s">
        <v>116</v>
      </c>
      <c r="B17" s="23" t="s">
        <v>50</v>
      </c>
      <c r="C17" s="50" t="s">
        <v>117</v>
      </c>
      <c r="D17" s="50" t="s">
        <v>118</v>
      </c>
      <c r="E17" s="51" t="s">
        <v>119</v>
      </c>
      <c r="F17" s="52" t="s">
        <v>120</v>
      </c>
      <c r="G17" s="53" t="s">
        <v>82</v>
      </c>
      <c r="H17" s="28" t="s">
        <v>56</v>
      </c>
      <c r="I17" s="50" t="s">
        <v>65</v>
      </c>
      <c r="J17" s="54" t="s">
        <v>70</v>
      </c>
      <c r="K17" s="54" t="s">
        <v>83</v>
      </c>
      <c r="L17" s="30" t="s">
        <v>59</v>
      </c>
    </row>
    <row r="18" customFormat="false" ht="43.5" hidden="false" customHeight="true" outlineLevel="0" collapsed="false">
      <c r="A18" s="55" t="s">
        <v>121</v>
      </c>
      <c r="B18" s="23" t="s">
        <v>50</v>
      </c>
      <c r="C18" s="56" t="s">
        <v>122</v>
      </c>
      <c r="D18" s="56" t="s">
        <v>123</v>
      </c>
      <c r="E18" s="57" t="s">
        <v>124</v>
      </c>
      <c r="F18" s="58" t="s">
        <v>125</v>
      </c>
      <c r="G18" s="59" t="s">
        <v>82</v>
      </c>
      <c r="H18" s="28" t="s">
        <v>56</v>
      </c>
      <c r="I18" s="56" t="s">
        <v>126</v>
      </c>
      <c r="J18" s="60" t="s">
        <v>70</v>
      </c>
      <c r="K18" s="60" t="s">
        <v>87</v>
      </c>
      <c r="L18" s="30" t="s">
        <v>59</v>
      </c>
    </row>
    <row r="19" customFormat="false" ht="43.5" hidden="false" customHeight="true" outlineLevel="0" collapsed="false">
      <c r="A19" s="22" t="s">
        <v>127</v>
      </c>
      <c r="B19" s="30" t="s">
        <v>93</v>
      </c>
      <c r="C19" s="24" t="s">
        <v>51</v>
      </c>
      <c r="D19" s="24" t="s">
        <v>128</v>
      </c>
      <c r="E19" s="25" t="s">
        <v>129</v>
      </c>
      <c r="F19" s="26" t="s">
        <v>130</v>
      </c>
      <c r="G19" s="27" t="s">
        <v>55</v>
      </c>
      <c r="H19" s="61" t="s">
        <v>131</v>
      </c>
      <c r="I19" s="24" t="s">
        <v>69</v>
      </c>
      <c r="J19" s="29" t="s">
        <v>87</v>
      </c>
      <c r="K19" s="29" t="s">
        <v>132</v>
      </c>
      <c r="L19" s="30" t="s">
        <v>59</v>
      </c>
    </row>
    <row r="20" customFormat="false" ht="43.5" hidden="false" customHeight="true" outlineLevel="0" collapsed="false">
      <c r="A20" s="31" t="s">
        <v>133</v>
      </c>
      <c r="B20" s="30" t="s">
        <v>93</v>
      </c>
      <c r="C20" s="32" t="s">
        <v>61</v>
      </c>
      <c r="D20" s="32" t="s">
        <v>134</v>
      </c>
      <c r="E20" s="33" t="s">
        <v>135</v>
      </c>
      <c r="F20" s="34" t="s">
        <v>136</v>
      </c>
      <c r="G20" s="35" t="s">
        <v>55</v>
      </c>
      <c r="H20" s="61" t="s">
        <v>131</v>
      </c>
      <c r="I20" s="32" t="s">
        <v>65</v>
      </c>
      <c r="J20" s="36" t="s">
        <v>87</v>
      </c>
      <c r="K20" s="36" t="s">
        <v>132</v>
      </c>
      <c r="L20" s="30" t="s">
        <v>59</v>
      </c>
    </row>
    <row r="21" customFormat="false" ht="43.5" hidden="false" customHeight="true" outlineLevel="0" collapsed="false">
      <c r="A21" s="49" t="s">
        <v>137</v>
      </c>
      <c r="B21" s="30" t="s">
        <v>93</v>
      </c>
      <c r="C21" s="50" t="s">
        <v>117</v>
      </c>
      <c r="D21" s="50" t="s">
        <v>138</v>
      </c>
      <c r="E21" s="51" t="s">
        <v>139</v>
      </c>
      <c r="F21" s="52" t="s">
        <v>140</v>
      </c>
      <c r="G21" s="53" t="s">
        <v>82</v>
      </c>
      <c r="H21" s="61" t="s">
        <v>131</v>
      </c>
      <c r="I21" s="50" t="s">
        <v>65</v>
      </c>
      <c r="J21" s="54" t="s">
        <v>87</v>
      </c>
      <c r="K21" s="54" t="s">
        <v>141</v>
      </c>
      <c r="L21" s="30" t="s">
        <v>59</v>
      </c>
    </row>
    <row r="22" customFormat="false" ht="43.5" hidden="false" customHeight="true" outlineLevel="0" collapsed="false">
      <c r="A22" s="49" t="s">
        <v>142</v>
      </c>
      <c r="B22" s="30" t="s">
        <v>93</v>
      </c>
      <c r="C22" s="50" t="s">
        <v>117</v>
      </c>
      <c r="D22" s="50" t="s">
        <v>143</v>
      </c>
      <c r="E22" s="51" t="s">
        <v>144</v>
      </c>
      <c r="F22" s="52" t="s">
        <v>145</v>
      </c>
      <c r="G22" s="53" t="s">
        <v>82</v>
      </c>
      <c r="H22" s="61" t="s">
        <v>131</v>
      </c>
      <c r="I22" s="50" t="s">
        <v>65</v>
      </c>
      <c r="J22" s="54" t="s">
        <v>87</v>
      </c>
      <c r="K22" s="54" t="s">
        <v>141</v>
      </c>
      <c r="L22" s="30" t="s">
        <v>59</v>
      </c>
    </row>
    <row r="23" customFormat="false" ht="43.5" hidden="false" customHeight="true" outlineLevel="0" collapsed="false">
      <c r="A23" s="43" t="s">
        <v>146</v>
      </c>
      <c r="B23" s="30" t="s">
        <v>93</v>
      </c>
      <c r="C23" s="44" t="s">
        <v>112</v>
      </c>
      <c r="D23" s="44" t="s">
        <v>147</v>
      </c>
      <c r="E23" s="45" t="s">
        <v>148</v>
      </c>
      <c r="F23" s="46" t="s">
        <v>149</v>
      </c>
      <c r="G23" s="47" t="s">
        <v>55</v>
      </c>
      <c r="H23" s="61" t="s">
        <v>131</v>
      </c>
      <c r="I23" s="44" t="s">
        <v>65</v>
      </c>
      <c r="J23" s="48" t="s">
        <v>87</v>
      </c>
      <c r="K23" s="48" t="s">
        <v>132</v>
      </c>
      <c r="L23" s="30" t="s">
        <v>59</v>
      </c>
    </row>
    <row r="24" customFormat="false" ht="43.5" hidden="false" customHeight="true" outlineLevel="0" collapsed="false">
      <c r="A24" s="55" t="s">
        <v>150</v>
      </c>
      <c r="B24" s="30" t="s">
        <v>93</v>
      </c>
      <c r="C24" s="56" t="s">
        <v>122</v>
      </c>
      <c r="D24" s="56" t="s">
        <v>151</v>
      </c>
      <c r="E24" s="57" t="s">
        <v>152</v>
      </c>
      <c r="F24" s="58" t="s">
        <v>125</v>
      </c>
      <c r="G24" s="59" t="s">
        <v>82</v>
      </c>
      <c r="H24" s="61" t="s">
        <v>131</v>
      </c>
      <c r="I24" s="56" t="s">
        <v>65</v>
      </c>
      <c r="J24" s="60" t="s">
        <v>87</v>
      </c>
      <c r="K24" s="60" t="s">
        <v>141</v>
      </c>
      <c r="L24" s="30" t="s">
        <v>59</v>
      </c>
    </row>
    <row r="25" customFormat="false" ht="43.5" hidden="false" customHeight="true" outlineLevel="0" collapsed="false">
      <c r="A25" s="62" t="s">
        <v>153</v>
      </c>
      <c r="B25" s="30" t="s">
        <v>93</v>
      </c>
      <c r="C25" s="63" t="s">
        <v>154</v>
      </c>
      <c r="D25" s="63" t="s">
        <v>155</v>
      </c>
      <c r="E25" s="64" t="s">
        <v>156</v>
      </c>
      <c r="F25" s="65" t="s">
        <v>157</v>
      </c>
      <c r="G25" s="66" t="s">
        <v>82</v>
      </c>
      <c r="H25" s="61" t="s">
        <v>131</v>
      </c>
      <c r="I25" s="63" t="s">
        <v>158</v>
      </c>
      <c r="J25" s="67" t="s">
        <v>87</v>
      </c>
      <c r="K25" s="67" t="s">
        <v>159</v>
      </c>
      <c r="L25" s="30" t="s">
        <v>59</v>
      </c>
    </row>
    <row r="26" customFormat="false" ht="43.5" hidden="false" customHeight="true" outlineLevel="0" collapsed="false">
      <c r="A26" s="62" t="s">
        <v>160</v>
      </c>
      <c r="B26" s="30" t="s">
        <v>93</v>
      </c>
      <c r="C26" s="63" t="s">
        <v>154</v>
      </c>
      <c r="D26" s="63" t="s">
        <v>161</v>
      </c>
      <c r="E26" s="64" t="s">
        <v>162</v>
      </c>
      <c r="F26" s="65" t="s">
        <v>157</v>
      </c>
      <c r="G26" s="66" t="s">
        <v>82</v>
      </c>
      <c r="H26" s="61" t="s">
        <v>131</v>
      </c>
      <c r="I26" s="63" t="s">
        <v>158</v>
      </c>
      <c r="J26" s="67" t="s">
        <v>132</v>
      </c>
      <c r="K26" s="67" t="s">
        <v>159</v>
      </c>
      <c r="L26" s="30" t="s">
        <v>59</v>
      </c>
    </row>
    <row r="27" customFormat="false" ht="43.5" hidden="false" customHeight="true" outlineLevel="0" collapsed="false">
      <c r="A27" s="62" t="s">
        <v>163</v>
      </c>
      <c r="B27" s="68" t="s">
        <v>164</v>
      </c>
      <c r="C27" s="63" t="s">
        <v>154</v>
      </c>
      <c r="D27" s="63" t="s">
        <v>165</v>
      </c>
      <c r="E27" s="64" t="s">
        <v>166</v>
      </c>
      <c r="F27" s="65" t="s">
        <v>167</v>
      </c>
      <c r="G27" s="66" t="s">
        <v>55</v>
      </c>
      <c r="H27" s="61" t="s">
        <v>131</v>
      </c>
      <c r="I27" s="63" t="s">
        <v>158</v>
      </c>
      <c r="J27" s="67" t="s">
        <v>132</v>
      </c>
      <c r="K27" s="67" t="s">
        <v>141</v>
      </c>
      <c r="L27" s="30" t="s">
        <v>59</v>
      </c>
    </row>
    <row r="28" customFormat="false" ht="43.5" hidden="false" customHeight="true" outlineLevel="0" collapsed="false">
      <c r="A28" s="43" t="s">
        <v>168</v>
      </c>
      <c r="B28" s="30" t="s">
        <v>93</v>
      </c>
      <c r="C28" s="44" t="s">
        <v>169</v>
      </c>
      <c r="D28" s="44" t="s">
        <v>170</v>
      </c>
      <c r="E28" s="45" t="s">
        <v>171</v>
      </c>
      <c r="F28" s="46" t="s">
        <v>172</v>
      </c>
      <c r="G28" s="47" t="s">
        <v>82</v>
      </c>
      <c r="H28" s="61" t="s">
        <v>131</v>
      </c>
      <c r="I28" s="44" t="s">
        <v>65</v>
      </c>
      <c r="J28" s="48" t="s">
        <v>87</v>
      </c>
      <c r="K28" s="48" t="s">
        <v>141</v>
      </c>
      <c r="L28" s="30" t="s">
        <v>59</v>
      </c>
    </row>
    <row r="29" customFormat="false" ht="43.5" hidden="false" customHeight="true" outlineLevel="0" collapsed="false">
      <c r="A29" s="43" t="s">
        <v>173</v>
      </c>
      <c r="B29" s="30" t="s">
        <v>93</v>
      </c>
      <c r="C29" s="44" t="s">
        <v>169</v>
      </c>
      <c r="D29" s="44" t="s">
        <v>174</v>
      </c>
      <c r="E29" s="45" t="s">
        <v>175</v>
      </c>
      <c r="F29" s="46" t="s">
        <v>172</v>
      </c>
      <c r="G29" s="47" t="s">
        <v>82</v>
      </c>
      <c r="H29" s="61" t="s">
        <v>131</v>
      </c>
      <c r="I29" s="44" t="s">
        <v>65</v>
      </c>
      <c r="J29" s="48" t="s">
        <v>132</v>
      </c>
      <c r="K29" s="48" t="s">
        <v>159</v>
      </c>
      <c r="L29" s="30" t="s">
        <v>59</v>
      </c>
    </row>
    <row r="30" customFormat="false" ht="43.5" hidden="false" customHeight="true" outlineLevel="0" collapsed="false">
      <c r="A30" s="69" t="s">
        <v>176</v>
      </c>
      <c r="B30" s="30" t="s">
        <v>93</v>
      </c>
      <c r="C30" s="70" t="s">
        <v>177</v>
      </c>
      <c r="D30" s="70" t="s">
        <v>178</v>
      </c>
      <c r="E30" s="71" t="s">
        <v>179</v>
      </c>
      <c r="F30" s="72" t="s">
        <v>180</v>
      </c>
      <c r="G30" s="73" t="s">
        <v>181</v>
      </c>
      <c r="H30" s="74" t="s">
        <v>182</v>
      </c>
      <c r="I30" s="70" t="s">
        <v>183</v>
      </c>
      <c r="J30" s="75" t="s">
        <v>141</v>
      </c>
      <c r="K30" s="75" t="s">
        <v>184</v>
      </c>
      <c r="L30" s="30" t="s">
        <v>59</v>
      </c>
    </row>
    <row r="31" customFormat="false" ht="43.5" hidden="false" customHeight="true" outlineLevel="0" collapsed="false">
      <c r="A31" s="69" t="s">
        <v>185</v>
      </c>
      <c r="B31" s="30" t="s">
        <v>93</v>
      </c>
      <c r="C31" s="70" t="s">
        <v>177</v>
      </c>
      <c r="D31" s="70" t="s">
        <v>186</v>
      </c>
      <c r="E31" s="71" t="s">
        <v>187</v>
      </c>
      <c r="F31" s="72" t="s">
        <v>180</v>
      </c>
      <c r="G31" s="73" t="s">
        <v>82</v>
      </c>
      <c r="H31" s="74" t="s">
        <v>182</v>
      </c>
      <c r="I31" s="70" t="s">
        <v>65</v>
      </c>
      <c r="J31" s="75" t="s">
        <v>188</v>
      </c>
      <c r="K31" s="75" t="s">
        <v>189</v>
      </c>
      <c r="L31" s="30" t="s">
        <v>59</v>
      </c>
    </row>
    <row r="32" customFormat="false" ht="43.5" hidden="false" customHeight="true" outlineLevel="0" collapsed="false">
      <c r="A32" s="22" t="s">
        <v>190</v>
      </c>
      <c r="B32" s="68" t="s">
        <v>164</v>
      </c>
      <c r="C32" s="24" t="s">
        <v>51</v>
      </c>
      <c r="D32" s="24" t="s">
        <v>191</v>
      </c>
      <c r="E32" s="25" t="s">
        <v>192</v>
      </c>
      <c r="F32" s="26" t="s">
        <v>125</v>
      </c>
      <c r="G32" s="27" t="s">
        <v>55</v>
      </c>
      <c r="H32" s="74" t="s">
        <v>182</v>
      </c>
      <c r="I32" s="24" t="s">
        <v>65</v>
      </c>
      <c r="J32" s="29" t="s">
        <v>159</v>
      </c>
      <c r="K32" s="29" t="s">
        <v>184</v>
      </c>
      <c r="L32" s="30" t="s">
        <v>59</v>
      </c>
    </row>
    <row r="33" customFormat="false" ht="43.5" hidden="false" customHeight="true" outlineLevel="0" collapsed="false">
      <c r="A33" s="37" t="s">
        <v>193</v>
      </c>
      <c r="B33" s="68" t="s">
        <v>164</v>
      </c>
      <c r="C33" s="38" t="s">
        <v>98</v>
      </c>
      <c r="D33" s="38" t="s">
        <v>194</v>
      </c>
      <c r="E33" s="39" t="s">
        <v>195</v>
      </c>
      <c r="F33" s="40" t="s">
        <v>101</v>
      </c>
      <c r="G33" s="41" t="s">
        <v>55</v>
      </c>
      <c r="H33" s="74" t="s">
        <v>182</v>
      </c>
      <c r="I33" s="38" t="s">
        <v>65</v>
      </c>
      <c r="J33" s="42" t="s">
        <v>141</v>
      </c>
      <c r="K33" s="42" t="s">
        <v>188</v>
      </c>
      <c r="L33" s="30" t="s">
        <v>59</v>
      </c>
    </row>
    <row r="34" customFormat="false" ht="43.5" hidden="false" customHeight="true" outlineLevel="0" collapsed="false">
      <c r="A34" s="22" t="s">
        <v>196</v>
      </c>
      <c r="B34" s="68" t="s">
        <v>164</v>
      </c>
      <c r="C34" s="24" t="s">
        <v>51</v>
      </c>
      <c r="D34" s="24" t="s">
        <v>197</v>
      </c>
      <c r="E34" s="25" t="s">
        <v>198</v>
      </c>
      <c r="F34" s="26" t="s">
        <v>130</v>
      </c>
      <c r="G34" s="27" t="s">
        <v>181</v>
      </c>
      <c r="H34" s="74" t="s">
        <v>182</v>
      </c>
      <c r="I34" s="24" t="s">
        <v>199</v>
      </c>
      <c r="J34" s="29" t="s">
        <v>184</v>
      </c>
      <c r="K34" s="29" t="s">
        <v>200</v>
      </c>
      <c r="L34" s="30" t="s">
        <v>59</v>
      </c>
    </row>
    <row r="35" customFormat="false" ht="43.5" hidden="false" customHeight="true" outlineLevel="0" collapsed="false">
      <c r="A35" s="22" t="s">
        <v>201</v>
      </c>
      <c r="B35" s="68" t="s">
        <v>164</v>
      </c>
      <c r="C35" s="24" t="s">
        <v>51</v>
      </c>
      <c r="D35" s="24" t="s">
        <v>202</v>
      </c>
      <c r="E35" s="25" t="s">
        <v>203</v>
      </c>
      <c r="F35" s="26" t="s">
        <v>130</v>
      </c>
      <c r="G35" s="27" t="s">
        <v>55</v>
      </c>
      <c r="H35" s="76" t="s">
        <v>204</v>
      </c>
      <c r="I35" s="24" t="s">
        <v>57</v>
      </c>
      <c r="J35" s="29" t="s">
        <v>189</v>
      </c>
      <c r="K35" s="29" t="s">
        <v>200</v>
      </c>
      <c r="L35" s="30" t="s">
        <v>59</v>
      </c>
    </row>
    <row r="36" customFormat="false" ht="43.5" hidden="false" customHeight="true" outlineLevel="0" collapsed="false">
      <c r="A36" s="22" t="s">
        <v>205</v>
      </c>
      <c r="B36" s="68" t="s">
        <v>164</v>
      </c>
      <c r="C36" s="24" t="s">
        <v>51</v>
      </c>
      <c r="D36" s="24" t="s">
        <v>206</v>
      </c>
      <c r="E36" s="25" t="s">
        <v>207</v>
      </c>
      <c r="F36" s="26" t="s">
        <v>130</v>
      </c>
      <c r="G36" s="27" t="s">
        <v>181</v>
      </c>
      <c r="H36" s="76" t="s">
        <v>204</v>
      </c>
      <c r="I36" s="24" t="s">
        <v>208</v>
      </c>
      <c r="J36" s="29" t="s">
        <v>200</v>
      </c>
      <c r="K36" s="29" t="s">
        <v>209</v>
      </c>
      <c r="L36" s="30" t="s">
        <v>59</v>
      </c>
    </row>
    <row r="37" customFormat="false" ht="43.5" hidden="false" customHeight="true" outlineLevel="0" collapsed="false">
      <c r="A37" s="22" t="s">
        <v>210</v>
      </c>
      <c r="B37" s="68" t="s">
        <v>164</v>
      </c>
      <c r="C37" s="24" t="s">
        <v>51</v>
      </c>
      <c r="D37" s="24" t="s">
        <v>211</v>
      </c>
      <c r="E37" s="25" t="s">
        <v>212</v>
      </c>
      <c r="F37" s="26" t="s">
        <v>130</v>
      </c>
      <c r="G37" s="27" t="s">
        <v>82</v>
      </c>
      <c r="H37" s="76" t="s">
        <v>204</v>
      </c>
      <c r="I37" s="24" t="s">
        <v>208</v>
      </c>
      <c r="J37" s="29" t="s">
        <v>189</v>
      </c>
      <c r="K37" s="29" t="s">
        <v>213</v>
      </c>
      <c r="L37" s="30" t="s">
        <v>59</v>
      </c>
    </row>
  </sheetData>
  <mergeCells count="3">
    <mergeCell ref="A1:J1"/>
    <mergeCell ref="K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17" min="5" style="0" width="9"/>
  </cols>
  <sheetData>
    <row r="1" customFormat="false" ht="25.5" hidden="false" customHeight="true" outlineLevel="0" collapsed="false">
      <c r="A1" s="18" t="s">
        <v>214</v>
      </c>
      <c r="B1" s="18"/>
      <c r="C1" s="18"/>
      <c r="D1" s="18"/>
      <c r="E1" s="19" t="s">
        <v>215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5.75" hidden="false" customHeight="true" outlineLevel="0" collapsed="false">
      <c r="A2" s="20" t="s">
        <v>216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37.5" hidden="false" customHeight="true" outlineLevel="0" collapsed="false">
      <c r="A3" s="21" t="s">
        <v>38</v>
      </c>
      <c r="B3" s="21" t="s">
        <v>39</v>
      </c>
      <c r="C3" s="21" t="s">
        <v>40</v>
      </c>
      <c r="D3" s="21" t="s">
        <v>41</v>
      </c>
      <c r="E3" s="77" t="s">
        <v>217</v>
      </c>
      <c r="F3" s="77" t="s">
        <v>218</v>
      </c>
      <c r="G3" s="77" t="s">
        <v>219</v>
      </c>
      <c r="H3" s="77" t="s">
        <v>220</v>
      </c>
      <c r="I3" s="77" t="s">
        <v>221</v>
      </c>
      <c r="J3" s="77" t="s">
        <v>222</v>
      </c>
      <c r="K3" s="77" t="s">
        <v>223</v>
      </c>
      <c r="L3" s="77" t="s">
        <v>224</v>
      </c>
      <c r="M3" s="77" t="s">
        <v>225</v>
      </c>
      <c r="N3" s="77" t="s">
        <v>226</v>
      </c>
      <c r="O3" s="77" t="s">
        <v>227</v>
      </c>
      <c r="P3" s="77" t="s">
        <v>228</v>
      </c>
      <c r="Q3" s="77" t="s">
        <v>229</v>
      </c>
    </row>
    <row r="4" customFormat="false" ht="30" hidden="false" customHeight="true" outlineLevel="0" collapsed="false">
      <c r="A4" s="78" t="s">
        <v>49</v>
      </c>
      <c r="B4" s="79" t="s">
        <v>50</v>
      </c>
      <c r="C4" s="80" t="s">
        <v>51</v>
      </c>
      <c r="D4" s="80" t="s">
        <v>52</v>
      </c>
      <c r="E4" s="81" t="s">
        <v>230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</row>
    <row r="5" customFormat="false" ht="30" hidden="false" customHeight="true" outlineLevel="0" collapsed="false">
      <c r="A5" s="83" t="s">
        <v>60</v>
      </c>
      <c r="B5" s="79" t="s">
        <v>50</v>
      </c>
      <c r="C5" s="84" t="s">
        <v>61</v>
      </c>
      <c r="D5" s="84" t="s">
        <v>62</v>
      </c>
      <c r="E5" s="81" t="s">
        <v>230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</row>
    <row r="6" customFormat="false" ht="30" hidden="false" customHeight="true" outlineLevel="0" collapsed="false">
      <c r="A6" s="78" t="s">
        <v>66</v>
      </c>
      <c r="B6" s="79" t="s">
        <v>50</v>
      </c>
      <c r="C6" s="80" t="s">
        <v>51</v>
      </c>
      <c r="D6" s="80" t="s">
        <v>67</v>
      </c>
      <c r="E6" s="81" t="s">
        <v>230</v>
      </c>
      <c r="F6" s="81" t="s">
        <v>230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</row>
    <row r="7" customFormat="false" ht="30" hidden="false" customHeight="true" outlineLevel="0" collapsed="false">
      <c r="A7" s="78" t="s">
        <v>71</v>
      </c>
      <c r="B7" s="79" t="s">
        <v>50</v>
      </c>
      <c r="C7" s="80" t="s">
        <v>51</v>
      </c>
      <c r="D7" s="80" t="s">
        <v>72</v>
      </c>
      <c r="E7" s="81" t="s">
        <v>230</v>
      </c>
      <c r="F7" s="81" t="s">
        <v>230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</row>
    <row r="8" customFormat="false" ht="30" hidden="false" customHeight="true" outlineLevel="0" collapsed="false">
      <c r="A8" s="78" t="s">
        <v>74</v>
      </c>
      <c r="B8" s="79" t="s">
        <v>50</v>
      </c>
      <c r="C8" s="80" t="s">
        <v>51</v>
      </c>
      <c r="D8" s="80" t="s">
        <v>231</v>
      </c>
      <c r="E8" s="81" t="s">
        <v>230</v>
      </c>
      <c r="F8" s="81" t="s">
        <v>230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</row>
    <row r="9" customFormat="false" ht="30" hidden="false" customHeight="true" outlineLevel="0" collapsed="false">
      <c r="A9" s="78" t="s">
        <v>78</v>
      </c>
      <c r="B9" s="79" t="s">
        <v>50</v>
      </c>
      <c r="C9" s="80" t="s">
        <v>51</v>
      </c>
      <c r="D9" s="80" t="s">
        <v>232</v>
      </c>
      <c r="E9" s="82"/>
      <c r="F9" s="81" t="s">
        <v>230</v>
      </c>
      <c r="G9" s="81" t="s">
        <v>230</v>
      </c>
      <c r="H9" s="82"/>
      <c r="I9" s="82"/>
      <c r="J9" s="82"/>
      <c r="K9" s="82"/>
      <c r="L9" s="82"/>
      <c r="M9" s="82"/>
      <c r="N9" s="82"/>
      <c r="O9" s="82"/>
      <c r="P9" s="82"/>
      <c r="Q9" s="82"/>
    </row>
    <row r="10" customFormat="false" ht="30" hidden="false" customHeight="true" outlineLevel="0" collapsed="false">
      <c r="A10" s="78" t="s">
        <v>84</v>
      </c>
      <c r="B10" s="79" t="s">
        <v>50</v>
      </c>
      <c r="C10" s="80" t="s">
        <v>51</v>
      </c>
      <c r="D10" s="80" t="s">
        <v>233</v>
      </c>
      <c r="E10" s="82"/>
      <c r="F10" s="81" t="s">
        <v>230</v>
      </c>
      <c r="G10" s="81" t="s">
        <v>234</v>
      </c>
      <c r="H10" s="81" t="s">
        <v>230</v>
      </c>
      <c r="I10" s="82"/>
      <c r="J10" s="82"/>
      <c r="K10" s="82"/>
      <c r="L10" s="82"/>
      <c r="M10" s="82"/>
      <c r="N10" s="82"/>
      <c r="O10" s="82"/>
      <c r="P10" s="82"/>
      <c r="Q10" s="82"/>
    </row>
    <row r="11" customFormat="false" ht="30" hidden="false" customHeight="true" outlineLevel="0" collapsed="false">
      <c r="A11" s="83" t="s">
        <v>88</v>
      </c>
      <c r="B11" s="79" t="s">
        <v>50</v>
      </c>
      <c r="C11" s="84" t="s">
        <v>61</v>
      </c>
      <c r="D11" s="84" t="s">
        <v>235</v>
      </c>
      <c r="E11" s="82"/>
      <c r="F11" s="81" t="s">
        <v>230</v>
      </c>
      <c r="G11" s="81" t="s">
        <v>230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</row>
    <row r="12" customFormat="false" ht="30" hidden="false" customHeight="true" outlineLevel="0" collapsed="false">
      <c r="A12" s="83" t="s">
        <v>92</v>
      </c>
      <c r="B12" s="85" t="s">
        <v>93</v>
      </c>
      <c r="C12" s="84" t="s">
        <v>61</v>
      </c>
      <c r="D12" s="84" t="s">
        <v>94</v>
      </c>
      <c r="E12" s="82"/>
      <c r="F12" s="86" t="s">
        <v>230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</row>
    <row r="13" customFormat="false" ht="30" hidden="false" customHeight="true" outlineLevel="0" collapsed="false">
      <c r="A13" s="87" t="s">
        <v>97</v>
      </c>
      <c r="B13" s="85" t="s">
        <v>93</v>
      </c>
      <c r="C13" s="88" t="s">
        <v>98</v>
      </c>
      <c r="D13" s="88" t="s">
        <v>236</v>
      </c>
      <c r="E13" s="82"/>
      <c r="F13" s="86" t="s">
        <v>230</v>
      </c>
      <c r="G13" s="86" t="s">
        <v>234</v>
      </c>
      <c r="H13" s="86" t="s">
        <v>230</v>
      </c>
      <c r="I13" s="82"/>
      <c r="J13" s="82"/>
      <c r="K13" s="82"/>
      <c r="L13" s="82"/>
      <c r="M13" s="82"/>
      <c r="N13" s="82"/>
      <c r="O13" s="82"/>
      <c r="P13" s="82"/>
      <c r="Q13" s="82"/>
    </row>
    <row r="14" customFormat="false" ht="30" hidden="false" customHeight="true" outlineLevel="0" collapsed="false">
      <c r="A14" s="87" t="s">
        <v>103</v>
      </c>
      <c r="B14" s="85" t="s">
        <v>93</v>
      </c>
      <c r="C14" s="88" t="s">
        <v>98</v>
      </c>
      <c r="D14" s="88" t="s">
        <v>237</v>
      </c>
      <c r="E14" s="82"/>
      <c r="F14" s="86" t="s">
        <v>230</v>
      </c>
      <c r="G14" s="86" t="s">
        <v>230</v>
      </c>
      <c r="H14" s="82"/>
      <c r="I14" s="82"/>
      <c r="J14" s="82"/>
      <c r="K14" s="82"/>
      <c r="L14" s="82"/>
      <c r="M14" s="82"/>
      <c r="N14" s="82"/>
      <c r="O14" s="82"/>
      <c r="P14" s="82"/>
      <c r="Q14" s="82"/>
    </row>
    <row r="15" customFormat="false" ht="30" hidden="false" customHeight="true" outlineLevel="0" collapsed="false">
      <c r="A15" s="87" t="s">
        <v>108</v>
      </c>
      <c r="B15" s="85" t="s">
        <v>93</v>
      </c>
      <c r="C15" s="88" t="s">
        <v>98</v>
      </c>
      <c r="D15" s="88" t="s">
        <v>238</v>
      </c>
      <c r="E15" s="82"/>
      <c r="F15" s="86" t="s">
        <v>230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</row>
    <row r="16" customFormat="false" ht="30" hidden="false" customHeight="true" outlineLevel="0" collapsed="false">
      <c r="A16" s="89" t="s">
        <v>111</v>
      </c>
      <c r="B16" s="79" t="s">
        <v>50</v>
      </c>
      <c r="C16" s="90" t="s">
        <v>112</v>
      </c>
      <c r="D16" s="90" t="s">
        <v>239</v>
      </c>
      <c r="E16" s="82"/>
      <c r="F16" s="81" t="s">
        <v>230</v>
      </c>
      <c r="G16" s="81" t="s">
        <v>234</v>
      </c>
      <c r="H16" s="81" t="s">
        <v>230</v>
      </c>
      <c r="I16" s="82"/>
      <c r="J16" s="82"/>
      <c r="K16" s="82"/>
      <c r="L16" s="82"/>
      <c r="M16" s="82"/>
      <c r="N16" s="82"/>
      <c r="O16" s="82"/>
      <c r="P16" s="82"/>
      <c r="Q16" s="82"/>
    </row>
    <row r="17" customFormat="false" ht="30" hidden="false" customHeight="true" outlineLevel="0" collapsed="false">
      <c r="A17" s="91" t="s">
        <v>116</v>
      </c>
      <c r="B17" s="79" t="s">
        <v>50</v>
      </c>
      <c r="C17" s="92" t="s">
        <v>117</v>
      </c>
      <c r="D17" s="92" t="s">
        <v>240</v>
      </c>
      <c r="E17" s="82"/>
      <c r="F17" s="81" t="s">
        <v>230</v>
      </c>
      <c r="G17" s="81" t="s">
        <v>230</v>
      </c>
      <c r="H17" s="82"/>
      <c r="I17" s="82"/>
      <c r="J17" s="82"/>
      <c r="K17" s="82"/>
      <c r="L17" s="82"/>
      <c r="M17" s="82"/>
      <c r="N17" s="82"/>
      <c r="O17" s="82"/>
      <c r="P17" s="82"/>
      <c r="Q17" s="82"/>
    </row>
    <row r="18" customFormat="false" ht="30" hidden="false" customHeight="true" outlineLevel="0" collapsed="false">
      <c r="A18" s="93" t="s">
        <v>121</v>
      </c>
      <c r="B18" s="79" t="s">
        <v>50</v>
      </c>
      <c r="C18" s="94" t="s">
        <v>122</v>
      </c>
      <c r="D18" s="94" t="s">
        <v>241</v>
      </c>
      <c r="E18" s="82"/>
      <c r="F18" s="81" t="s">
        <v>230</v>
      </c>
      <c r="G18" s="81" t="s">
        <v>234</v>
      </c>
      <c r="H18" s="81" t="s">
        <v>230</v>
      </c>
      <c r="I18" s="82"/>
      <c r="J18" s="82"/>
      <c r="K18" s="82"/>
      <c r="L18" s="82"/>
      <c r="M18" s="82"/>
      <c r="N18" s="82"/>
      <c r="O18" s="82"/>
      <c r="P18" s="82"/>
      <c r="Q18" s="82"/>
    </row>
    <row r="19" customFormat="false" ht="30" hidden="false" customHeight="true" outlineLevel="0" collapsed="false">
      <c r="A19" s="78" t="s">
        <v>127</v>
      </c>
      <c r="B19" s="85" t="s">
        <v>93</v>
      </c>
      <c r="C19" s="80" t="s">
        <v>51</v>
      </c>
      <c r="D19" s="80" t="s">
        <v>242</v>
      </c>
      <c r="E19" s="82"/>
      <c r="F19" s="82"/>
      <c r="G19" s="82"/>
      <c r="H19" s="86" t="s">
        <v>230</v>
      </c>
      <c r="I19" s="86" t="s">
        <v>230</v>
      </c>
      <c r="J19" s="82"/>
      <c r="K19" s="82"/>
      <c r="L19" s="82"/>
      <c r="M19" s="82"/>
      <c r="N19" s="82"/>
      <c r="O19" s="82"/>
      <c r="P19" s="82"/>
      <c r="Q19" s="82"/>
    </row>
    <row r="20" customFormat="false" ht="30" hidden="false" customHeight="true" outlineLevel="0" collapsed="false">
      <c r="A20" s="83" t="s">
        <v>133</v>
      </c>
      <c r="B20" s="85" t="s">
        <v>93</v>
      </c>
      <c r="C20" s="84" t="s">
        <v>61</v>
      </c>
      <c r="D20" s="84" t="s">
        <v>243</v>
      </c>
      <c r="E20" s="82"/>
      <c r="F20" s="82"/>
      <c r="G20" s="82"/>
      <c r="H20" s="86" t="s">
        <v>230</v>
      </c>
      <c r="I20" s="86" t="s">
        <v>230</v>
      </c>
      <c r="J20" s="82"/>
      <c r="K20" s="82"/>
      <c r="L20" s="82"/>
      <c r="M20" s="82"/>
      <c r="N20" s="82"/>
      <c r="O20" s="82"/>
      <c r="P20" s="82"/>
      <c r="Q20" s="82"/>
    </row>
    <row r="21" customFormat="false" ht="30" hidden="false" customHeight="true" outlineLevel="0" collapsed="false">
      <c r="A21" s="91" t="s">
        <v>137</v>
      </c>
      <c r="B21" s="85" t="s">
        <v>93</v>
      </c>
      <c r="C21" s="92" t="s">
        <v>117</v>
      </c>
      <c r="D21" s="92" t="s">
        <v>244</v>
      </c>
      <c r="E21" s="82"/>
      <c r="F21" s="82"/>
      <c r="G21" s="82"/>
      <c r="H21" s="86" t="s">
        <v>230</v>
      </c>
      <c r="I21" s="86" t="s">
        <v>234</v>
      </c>
      <c r="J21" s="86" t="s">
        <v>230</v>
      </c>
      <c r="K21" s="82"/>
      <c r="L21" s="82"/>
      <c r="M21" s="82"/>
      <c r="N21" s="82"/>
      <c r="O21" s="82"/>
      <c r="P21" s="82"/>
      <c r="Q21" s="82"/>
    </row>
    <row r="22" customFormat="false" ht="30" hidden="false" customHeight="true" outlineLevel="0" collapsed="false">
      <c r="A22" s="91" t="s">
        <v>142</v>
      </c>
      <c r="B22" s="85" t="s">
        <v>93</v>
      </c>
      <c r="C22" s="92" t="s">
        <v>117</v>
      </c>
      <c r="D22" s="92" t="s">
        <v>245</v>
      </c>
      <c r="E22" s="82"/>
      <c r="F22" s="82"/>
      <c r="G22" s="82"/>
      <c r="H22" s="86" t="s">
        <v>230</v>
      </c>
      <c r="I22" s="86" t="s">
        <v>234</v>
      </c>
      <c r="J22" s="86" t="s">
        <v>230</v>
      </c>
      <c r="K22" s="82"/>
      <c r="L22" s="82"/>
      <c r="M22" s="82"/>
      <c r="N22" s="82"/>
      <c r="O22" s="82"/>
      <c r="P22" s="82"/>
      <c r="Q22" s="82"/>
    </row>
    <row r="23" customFormat="false" ht="30" hidden="false" customHeight="true" outlineLevel="0" collapsed="false">
      <c r="A23" s="89" t="s">
        <v>146</v>
      </c>
      <c r="B23" s="85" t="s">
        <v>93</v>
      </c>
      <c r="C23" s="90" t="s">
        <v>112</v>
      </c>
      <c r="D23" s="90" t="s">
        <v>246</v>
      </c>
      <c r="E23" s="82"/>
      <c r="F23" s="82"/>
      <c r="G23" s="82"/>
      <c r="H23" s="86" t="s">
        <v>230</v>
      </c>
      <c r="I23" s="86" t="s">
        <v>230</v>
      </c>
      <c r="J23" s="82"/>
      <c r="K23" s="82"/>
      <c r="L23" s="82"/>
      <c r="M23" s="82"/>
      <c r="N23" s="82"/>
      <c r="O23" s="82"/>
      <c r="P23" s="82"/>
      <c r="Q23" s="82"/>
    </row>
    <row r="24" customFormat="false" ht="30" hidden="false" customHeight="true" outlineLevel="0" collapsed="false">
      <c r="A24" s="93" t="s">
        <v>150</v>
      </c>
      <c r="B24" s="85" t="s">
        <v>93</v>
      </c>
      <c r="C24" s="94" t="s">
        <v>122</v>
      </c>
      <c r="D24" s="94" t="s">
        <v>247</v>
      </c>
      <c r="E24" s="82"/>
      <c r="F24" s="82"/>
      <c r="G24" s="82"/>
      <c r="H24" s="86" t="s">
        <v>230</v>
      </c>
      <c r="I24" s="86" t="s">
        <v>234</v>
      </c>
      <c r="J24" s="86" t="s">
        <v>230</v>
      </c>
      <c r="K24" s="82"/>
      <c r="L24" s="82"/>
      <c r="M24" s="82"/>
      <c r="N24" s="82"/>
      <c r="O24" s="82"/>
      <c r="P24" s="82"/>
      <c r="Q24" s="82"/>
    </row>
    <row r="25" customFormat="false" ht="30" hidden="false" customHeight="true" outlineLevel="0" collapsed="false">
      <c r="A25" s="95" t="s">
        <v>153</v>
      </c>
      <c r="B25" s="85" t="s">
        <v>93</v>
      </c>
      <c r="C25" s="96" t="s">
        <v>154</v>
      </c>
      <c r="D25" s="96" t="s">
        <v>155</v>
      </c>
      <c r="E25" s="82"/>
      <c r="F25" s="82"/>
      <c r="G25" s="82"/>
      <c r="H25" s="86" t="s">
        <v>230</v>
      </c>
      <c r="I25" s="86" t="s">
        <v>234</v>
      </c>
      <c r="J25" s="86" t="s">
        <v>234</v>
      </c>
      <c r="K25" s="86" t="s">
        <v>230</v>
      </c>
      <c r="L25" s="82"/>
      <c r="M25" s="82"/>
      <c r="N25" s="82"/>
      <c r="O25" s="82"/>
      <c r="P25" s="82"/>
      <c r="Q25" s="82"/>
    </row>
    <row r="26" customFormat="false" ht="30" hidden="false" customHeight="true" outlineLevel="0" collapsed="false">
      <c r="A26" s="95" t="s">
        <v>160</v>
      </c>
      <c r="B26" s="85" t="s">
        <v>93</v>
      </c>
      <c r="C26" s="96" t="s">
        <v>154</v>
      </c>
      <c r="D26" s="96" t="s">
        <v>248</v>
      </c>
      <c r="E26" s="82"/>
      <c r="F26" s="82"/>
      <c r="G26" s="82"/>
      <c r="H26" s="82"/>
      <c r="I26" s="86" t="s">
        <v>230</v>
      </c>
      <c r="J26" s="86" t="s">
        <v>234</v>
      </c>
      <c r="K26" s="86" t="s">
        <v>230</v>
      </c>
      <c r="L26" s="82"/>
      <c r="M26" s="82"/>
      <c r="N26" s="82"/>
      <c r="O26" s="82"/>
      <c r="P26" s="82"/>
      <c r="Q26" s="82"/>
    </row>
    <row r="27" customFormat="false" ht="30" hidden="false" customHeight="true" outlineLevel="0" collapsed="false">
      <c r="A27" s="95" t="s">
        <v>163</v>
      </c>
      <c r="B27" s="97" t="s">
        <v>164</v>
      </c>
      <c r="C27" s="96" t="s">
        <v>154</v>
      </c>
      <c r="D27" s="96" t="s">
        <v>249</v>
      </c>
      <c r="E27" s="82"/>
      <c r="F27" s="82"/>
      <c r="G27" s="82"/>
      <c r="H27" s="82"/>
      <c r="I27" s="98" t="s">
        <v>230</v>
      </c>
      <c r="J27" s="98" t="s">
        <v>230</v>
      </c>
      <c r="K27" s="82"/>
      <c r="L27" s="82"/>
      <c r="M27" s="82"/>
      <c r="N27" s="82"/>
      <c r="O27" s="82"/>
      <c r="P27" s="82"/>
      <c r="Q27" s="82"/>
    </row>
    <row r="28" customFormat="false" ht="30" hidden="false" customHeight="true" outlineLevel="0" collapsed="false">
      <c r="A28" s="89" t="s">
        <v>168</v>
      </c>
      <c r="B28" s="85" t="s">
        <v>93</v>
      </c>
      <c r="C28" s="90" t="s">
        <v>169</v>
      </c>
      <c r="D28" s="90" t="s">
        <v>250</v>
      </c>
      <c r="E28" s="82"/>
      <c r="F28" s="82"/>
      <c r="G28" s="82"/>
      <c r="H28" s="86" t="s">
        <v>230</v>
      </c>
      <c r="I28" s="86" t="s">
        <v>234</v>
      </c>
      <c r="J28" s="86" t="s">
        <v>230</v>
      </c>
      <c r="K28" s="82"/>
      <c r="L28" s="82"/>
      <c r="M28" s="82"/>
      <c r="N28" s="82"/>
      <c r="O28" s="82"/>
      <c r="P28" s="82"/>
      <c r="Q28" s="82"/>
    </row>
    <row r="29" customFormat="false" ht="30" hidden="false" customHeight="true" outlineLevel="0" collapsed="false">
      <c r="A29" s="89" t="s">
        <v>173</v>
      </c>
      <c r="B29" s="85" t="s">
        <v>93</v>
      </c>
      <c r="C29" s="90" t="s">
        <v>169</v>
      </c>
      <c r="D29" s="90" t="s">
        <v>251</v>
      </c>
      <c r="E29" s="82"/>
      <c r="F29" s="82"/>
      <c r="G29" s="82"/>
      <c r="H29" s="82"/>
      <c r="I29" s="86" t="s">
        <v>230</v>
      </c>
      <c r="J29" s="86" t="s">
        <v>234</v>
      </c>
      <c r="K29" s="86" t="s">
        <v>230</v>
      </c>
      <c r="L29" s="82"/>
      <c r="M29" s="82"/>
      <c r="N29" s="82"/>
      <c r="O29" s="82"/>
      <c r="P29" s="82"/>
      <c r="Q29" s="82"/>
    </row>
    <row r="30" customFormat="false" ht="30" hidden="false" customHeight="true" outlineLevel="0" collapsed="false">
      <c r="A30" s="99" t="s">
        <v>176</v>
      </c>
      <c r="B30" s="85" t="s">
        <v>93</v>
      </c>
      <c r="C30" s="100" t="s">
        <v>177</v>
      </c>
      <c r="D30" s="100" t="s">
        <v>178</v>
      </c>
      <c r="E30" s="82"/>
      <c r="F30" s="82"/>
      <c r="G30" s="82"/>
      <c r="H30" s="82"/>
      <c r="I30" s="82"/>
      <c r="J30" s="86" t="s">
        <v>230</v>
      </c>
      <c r="K30" s="86" t="s">
        <v>234</v>
      </c>
      <c r="L30" s="86" t="s">
        <v>234</v>
      </c>
      <c r="M30" s="86" t="s">
        <v>230</v>
      </c>
      <c r="N30" s="82"/>
      <c r="O30" s="82"/>
      <c r="P30" s="82"/>
      <c r="Q30" s="82"/>
    </row>
    <row r="31" customFormat="false" ht="30" hidden="false" customHeight="true" outlineLevel="0" collapsed="false">
      <c r="A31" s="99" t="s">
        <v>185</v>
      </c>
      <c r="B31" s="85" t="s">
        <v>93</v>
      </c>
      <c r="C31" s="100" t="s">
        <v>177</v>
      </c>
      <c r="D31" s="100" t="s">
        <v>252</v>
      </c>
      <c r="E31" s="82"/>
      <c r="F31" s="82"/>
      <c r="G31" s="82"/>
      <c r="H31" s="82"/>
      <c r="I31" s="82"/>
      <c r="J31" s="82"/>
      <c r="K31" s="82"/>
      <c r="L31" s="86" t="s">
        <v>230</v>
      </c>
      <c r="M31" s="86" t="s">
        <v>234</v>
      </c>
      <c r="N31" s="86" t="s">
        <v>230</v>
      </c>
      <c r="O31" s="82"/>
      <c r="P31" s="82"/>
      <c r="Q31" s="82"/>
    </row>
    <row r="32" customFormat="false" ht="30" hidden="false" customHeight="true" outlineLevel="0" collapsed="false">
      <c r="A32" s="78" t="s">
        <v>190</v>
      </c>
      <c r="B32" s="97" t="s">
        <v>164</v>
      </c>
      <c r="C32" s="80" t="s">
        <v>51</v>
      </c>
      <c r="D32" s="80" t="s">
        <v>253</v>
      </c>
      <c r="E32" s="82"/>
      <c r="F32" s="82"/>
      <c r="G32" s="82"/>
      <c r="H32" s="82"/>
      <c r="I32" s="82"/>
      <c r="J32" s="82"/>
      <c r="K32" s="98" t="s">
        <v>230</v>
      </c>
      <c r="L32" s="98" t="s">
        <v>234</v>
      </c>
      <c r="M32" s="98" t="s">
        <v>230</v>
      </c>
      <c r="N32" s="82"/>
      <c r="O32" s="82"/>
      <c r="P32" s="82"/>
      <c r="Q32" s="82"/>
    </row>
    <row r="33" customFormat="false" ht="30" hidden="false" customHeight="true" outlineLevel="0" collapsed="false">
      <c r="A33" s="87" t="s">
        <v>193</v>
      </c>
      <c r="B33" s="97" t="s">
        <v>164</v>
      </c>
      <c r="C33" s="88" t="s">
        <v>98</v>
      </c>
      <c r="D33" s="88" t="s">
        <v>254</v>
      </c>
      <c r="E33" s="82"/>
      <c r="F33" s="82"/>
      <c r="G33" s="82"/>
      <c r="H33" s="82"/>
      <c r="I33" s="82"/>
      <c r="J33" s="98" t="s">
        <v>230</v>
      </c>
      <c r="K33" s="98" t="s">
        <v>234</v>
      </c>
      <c r="L33" s="98" t="s">
        <v>230</v>
      </c>
      <c r="M33" s="82"/>
      <c r="N33" s="82"/>
      <c r="O33" s="82"/>
      <c r="P33" s="82"/>
      <c r="Q33" s="82"/>
    </row>
    <row r="34" customFormat="false" ht="30" hidden="false" customHeight="true" outlineLevel="0" collapsed="false">
      <c r="A34" s="78" t="s">
        <v>196</v>
      </c>
      <c r="B34" s="97" t="s">
        <v>164</v>
      </c>
      <c r="C34" s="80" t="s">
        <v>51</v>
      </c>
      <c r="D34" s="80" t="s">
        <v>255</v>
      </c>
      <c r="E34" s="82"/>
      <c r="F34" s="82"/>
      <c r="G34" s="82"/>
      <c r="H34" s="82"/>
      <c r="I34" s="82"/>
      <c r="J34" s="82"/>
      <c r="K34" s="82"/>
      <c r="L34" s="82"/>
      <c r="M34" s="98" t="s">
        <v>230</v>
      </c>
      <c r="N34" s="98" t="s">
        <v>234</v>
      </c>
      <c r="O34" s="98" t="s">
        <v>230</v>
      </c>
      <c r="P34" s="82"/>
      <c r="Q34" s="82"/>
    </row>
    <row r="35" customFormat="false" ht="30" hidden="false" customHeight="true" outlineLevel="0" collapsed="false">
      <c r="A35" s="78" t="s">
        <v>201</v>
      </c>
      <c r="B35" s="97" t="s">
        <v>164</v>
      </c>
      <c r="C35" s="80" t="s">
        <v>51</v>
      </c>
      <c r="D35" s="80" t="s">
        <v>202</v>
      </c>
      <c r="E35" s="82"/>
      <c r="F35" s="82"/>
      <c r="G35" s="82"/>
      <c r="H35" s="82"/>
      <c r="I35" s="82"/>
      <c r="J35" s="82"/>
      <c r="K35" s="82"/>
      <c r="L35" s="82"/>
      <c r="M35" s="82"/>
      <c r="N35" s="98" t="s">
        <v>230</v>
      </c>
      <c r="O35" s="98" t="s">
        <v>230</v>
      </c>
      <c r="P35" s="82"/>
      <c r="Q35" s="82"/>
    </row>
    <row r="36" customFormat="false" ht="30" hidden="false" customHeight="true" outlineLevel="0" collapsed="false">
      <c r="A36" s="78" t="s">
        <v>205</v>
      </c>
      <c r="B36" s="97" t="s">
        <v>164</v>
      </c>
      <c r="C36" s="80" t="s">
        <v>51</v>
      </c>
      <c r="D36" s="80" t="s">
        <v>206</v>
      </c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98" t="s">
        <v>230</v>
      </c>
      <c r="P36" s="98" t="s">
        <v>234</v>
      </c>
      <c r="Q36" s="98" t="s">
        <v>230</v>
      </c>
    </row>
    <row r="37" customFormat="false" ht="30" hidden="false" customHeight="true" outlineLevel="0" collapsed="false">
      <c r="A37" s="78" t="s">
        <v>210</v>
      </c>
      <c r="B37" s="97" t="s">
        <v>164</v>
      </c>
      <c r="C37" s="80" t="s">
        <v>51</v>
      </c>
      <c r="D37" s="80" t="s">
        <v>211</v>
      </c>
      <c r="E37" s="82"/>
      <c r="F37" s="82"/>
      <c r="G37" s="82"/>
      <c r="H37" s="82"/>
      <c r="I37" s="82"/>
      <c r="J37" s="82"/>
      <c r="K37" s="82"/>
      <c r="L37" s="82"/>
      <c r="M37" s="82"/>
      <c r="N37" s="98" t="s">
        <v>230</v>
      </c>
      <c r="O37" s="98" t="s">
        <v>234</v>
      </c>
      <c r="P37" s="98" t="s">
        <v>230</v>
      </c>
      <c r="Q37" s="82"/>
    </row>
  </sheetData>
  <mergeCells count="3">
    <mergeCell ref="A1:D1"/>
    <mergeCell ref="E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"/>
  </cols>
  <sheetData>
    <row r="1" customFormat="false" ht="27.75" hidden="false" customHeight="true" outlineLevel="0" collapsed="false">
      <c r="B1" s="101" t="s">
        <v>256</v>
      </c>
      <c r="C1" s="101"/>
      <c r="D1" s="101"/>
      <c r="E1" s="101"/>
      <c r="F1" s="101"/>
      <c r="G1" s="101"/>
    </row>
    <row r="2" customFormat="false" ht="18" hidden="false" customHeight="true" outlineLevel="0" collapsed="false">
      <c r="B2" s="102" t="s">
        <v>257</v>
      </c>
      <c r="C2" s="102"/>
      <c r="D2" s="102"/>
      <c r="E2" s="102"/>
      <c r="F2" s="102"/>
      <c r="G2" s="102"/>
    </row>
    <row r="3" customFormat="false" ht="9.75" hidden="false" customHeight="true" outlineLevel="0" collapsed="false"/>
    <row r="4" customFormat="false" ht="19.5" hidden="false" customHeight="true" outlineLevel="0" collapsed="false">
      <c r="B4" s="103" t="s">
        <v>258</v>
      </c>
      <c r="C4" s="103"/>
      <c r="D4" s="103"/>
      <c r="E4" s="103"/>
      <c r="F4" s="103"/>
      <c r="G4" s="103"/>
    </row>
    <row r="5" customFormat="false" ht="18" hidden="false" customHeight="true" outlineLevel="0" collapsed="false">
      <c r="B5" s="104" t="s">
        <v>25</v>
      </c>
      <c r="C5" s="23" t="s">
        <v>50</v>
      </c>
      <c r="D5" s="30" t="s">
        <v>93</v>
      </c>
      <c r="E5" s="68" t="s">
        <v>164</v>
      </c>
      <c r="F5" s="105" t="s">
        <v>259</v>
      </c>
      <c r="G5" s="105" t="s">
        <v>260</v>
      </c>
    </row>
    <row r="6" customFormat="false" ht="33.75" hidden="false" customHeight="true" outlineLevel="0" collapsed="false">
      <c r="B6" s="106" t="n">
        <f aca="false">COUNTA('Remediation Roadmap'!A4:A37)</f>
        <v>34</v>
      </c>
      <c r="C6" s="107" t="n">
        <f aca="false">COUNTIF('Remediation Roadmap'!B4:B37,"Critical")</f>
        <v>11</v>
      </c>
      <c r="D6" s="108" t="n">
        <f aca="false">COUNTIF('Remediation Roadmap'!B4:B37,"High")</f>
        <v>16</v>
      </c>
      <c r="E6" s="109" t="n">
        <f aca="false">COUNTIF('Remediation Roadmap'!B4:B37,"Medium")</f>
        <v>7</v>
      </c>
      <c r="F6" s="110" t="n">
        <f aca="false">COUNTIF('Remediation Roadmap'!B4:B37,"Low")</f>
        <v>0</v>
      </c>
      <c r="G6" s="110" t="n">
        <f aca="false">COUNTIF('Remediation Roadmap'!L4:L37,"Completed")</f>
        <v>0</v>
      </c>
    </row>
    <row r="7" customFormat="false" ht="12" hidden="false" customHeight="true" outlineLevel="0" collapsed="false"/>
    <row r="8" customFormat="false" ht="19.5" hidden="false" customHeight="true" outlineLevel="0" collapsed="false">
      <c r="B8" s="103" t="s">
        <v>261</v>
      </c>
      <c r="C8" s="103"/>
      <c r="D8" s="103"/>
      <c r="E8" s="103"/>
      <c r="F8" s="103"/>
      <c r="G8" s="103"/>
    </row>
    <row r="9" customFormat="false" ht="18" hidden="false" customHeight="true" outlineLevel="0" collapsed="false">
      <c r="B9" s="111" t="s">
        <v>262</v>
      </c>
      <c r="C9" s="111" t="s">
        <v>263</v>
      </c>
      <c r="D9" s="111"/>
      <c r="E9" s="111"/>
      <c r="F9" s="111"/>
      <c r="G9" s="111"/>
    </row>
    <row r="10" customFormat="false" ht="21.75" hidden="false" customHeight="true" outlineLevel="0" collapsed="false">
      <c r="B10" s="15" t="s">
        <v>264</v>
      </c>
      <c r="C10" s="112" t="n">
        <f aca="false">IF(B6=0,0,G6/B6)</f>
        <v>0</v>
      </c>
      <c r="D10" s="112"/>
      <c r="E10" s="112"/>
      <c r="F10" s="112"/>
      <c r="G10" s="112"/>
    </row>
    <row r="11" customFormat="false" ht="21.75" hidden="false" customHeight="true" outlineLevel="0" collapsed="false">
      <c r="B11" s="13" t="s">
        <v>265</v>
      </c>
      <c r="C11" s="113" t="n">
        <f aca="false">COUNTIFS('Remediation Roadmap'!B4:B37,"Critical",'Remediation Roadmap'!L4:L37,"Completed")</f>
        <v>0</v>
      </c>
      <c r="D11" s="113"/>
      <c r="E11" s="113"/>
      <c r="F11" s="113"/>
      <c r="G11" s="113"/>
    </row>
    <row r="12" customFormat="false" ht="21.75" hidden="false" customHeight="true" outlineLevel="0" collapsed="false">
      <c r="B12" s="15" t="s">
        <v>266</v>
      </c>
      <c r="C12" s="113" t="n">
        <f aca="false">COUNTIFS('Remediation Roadmap'!B4:B37,"High",'Remediation Roadmap'!L4:L37,"Completed")</f>
        <v>0</v>
      </c>
      <c r="D12" s="113"/>
      <c r="E12" s="113"/>
      <c r="F12" s="113"/>
      <c r="G12" s="113"/>
    </row>
    <row r="13" customFormat="false" ht="21.75" hidden="false" customHeight="true" outlineLevel="0" collapsed="false">
      <c r="B13" s="13" t="s">
        <v>267</v>
      </c>
      <c r="C13" s="113" t="n">
        <f aca="false">COUNTIFS('Remediation Roadmap'!B4:B37,"Medium",'Remediation Roadmap'!L4:L37,"Completed")</f>
        <v>0</v>
      </c>
      <c r="D13" s="113"/>
      <c r="E13" s="113"/>
      <c r="F13" s="113"/>
      <c r="G13" s="113"/>
    </row>
    <row r="14" customFormat="false" ht="12" hidden="false" customHeight="true" outlineLevel="0" collapsed="false"/>
    <row r="15" customFormat="false" ht="19.5" hidden="false" customHeight="true" outlineLevel="0" collapsed="false">
      <c r="B15" s="103" t="s">
        <v>268</v>
      </c>
      <c r="C15" s="103"/>
      <c r="D15" s="103"/>
      <c r="E15" s="103"/>
      <c r="F15" s="103"/>
      <c r="G15" s="103"/>
    </row>
    <row r="16" customFormat="false" ht="18" hidden="false" customHeight="true" outlineLevel="0" collapsed="false">
      <c r="B16" s="111" t="s">
        <v>39</v>
      </c>
      <c r="C16" s="111" t="s">
        <v>269</v>
      </c>
      <c r="D16" s="111" t="s">
        <v>59</v>
      </c>
      <c r="E16" s="111" t="s">
        <v>270</v>
      </c>
      <c r="F16" s="111" t="s">
        <v>260</v>
      </c>
      <c r="G16" s="111" t="s">
        <v>271</v>
      </c>
    </row>
    <row r="17" customFormat="false" ht="21.75" hidden="false" customHeight="true" outlineLevel="0" collapsed="false">
      <c r="B17" s="23" t="s">
        <v>50</v>
      </c>
      <c r="C17" s="114" t="n">
        <f aca="false">COUNTIF('Remediation Roadmap'!B4:B37,"Critical")</f>
        <v>11</v>
      </c>
      <c r="D17" s="115" t="n">
        <f aca="false">COUNTIFS('Remediation Roadmap'!B4:B37,"Critical",'Remediation Roadmap'!L4:L37,"Open")</f>
        <v>11</v>
      </c>
      <c r="E17" s="116" t="n">
        <f aca="false">COUNTIFS('Remediation Roadmap'!B4:B37,"Critical",'Remediation Roadmap'!L4:L37,"In Progress")</f>
        <v>0</v>
      </c>
      <c r="F17" s="117" t="n">
        <f aca="false">COUNTIFS('Remediation Roadmap'!B4:B37,"Critical",'Remediation Roadmap'!L4:L37,"Completed")</f>
        <v>0</v>
      </c>
      <c r="G17" s="118" t="n">
        <f aca="false">IF(C17=0,0,F17/C17)</f>
        <v>0</v>
      </c>
    </row>
    <row r="18" customFormat="false" ht="21.75" hidden="false" customHeight="true" outlineLevel="0" collapsed="false">
      <c r="B18" s="30" t="s">
        <v>93</v>
      </c>
      <c r="C18" s="119" t="n">
        <f aca="false">COUNTIF('Remediation Roadmap'!B4:B37,"High")</f>
        <v>16</v>
      </c>
      <c r="D18" s="120" t="n">
        <f aca="false">COUNTIFS('Remediation Roadmap'!B4:B37,"High",'Remediation Roadmap'!L4:L37,"Open")</f>
        <v>16</v>
      </c>
      <c r="E18" s="121" t="n">
        <f aca="false">COUNTIFS('Remediation Roadmap'!B4:B37,"High",'Remediation Roadmap'!L4:L37,"In Progress")</f>
        <v>0</v>
      </c>
      <c r="F18" s="122" t="n">
        <f aca="false">COUNTIFS('Remediation Roadmap'!B4:B37,"High",'Remediation Roadmap'!L4:L37,"Completed")</f>
        <v>0</v>
      </c>
      <c r="G18" s="123" t="n">
        <f aca="false">IF(C18=0,0,F18/C18)</f>
        <v>0</v>
      </c>
    </row>
    <row r="19" customFormat="false" ht="21.75" hidden="false" customHeight="true" outlineLevel="0" collapsed="false">
      <c r="B19" s="68" t="s">
        <v>164</v>
      </c>
      <c r="C19" s="124" t="n">
        <f aca="false">COUNTIF('Remediation Roadmap'!B4:B37,"Medium")</f>
        <v>7</v>
      </c>
      <c r="D19" s="125" t="n">
        <f aca="false">COUNTIFS('Remediation Roadmap'!B4:B37,"Medium",'Remediation Roadmap'!L4:L37,"Open")</f>
        <v>7</v>
      </c>
      <c r="E19" s="126" t="n">
        <f aca="false">COUNTIFS('Remediation Roadmap'!B4:B37,"Medium",'Remediation Roadmap'!L4:L37,"In Progress")</f>
        <v>0</v>
      </c>
      <c r="F19" s="127" t="n">
        <f aca="false">COUNTIFS('Remediation Roadmap'!B4:B37,"Medium",'Remediation Roadmap'!L4:L37,"Completed")</f>
        <v>0</v>
      </c>
      <c r="G19" s="128" t="n">
        <f aca="false">IF(C19=0,0,F19/C19)</f>
        <v>0</v>
      </c>
    </row>
    <row r="20" customFormat="false" ht="21.75" hidden="false" customHeight="true" outlineLevel="0" collapsed="false">
      <c r="B20" s="105" t="s">
        <v>259</v>
      </c>
      <c r="C20" s="129" t="n">
        <f aca="false">COUNTIF('Remediation Roadmap'!B4:B37,"Low")</f>
        <v>0</v>
      </c>
      <c r="D20" s="130" t="n">
        <f aca="false">COUNTIFS('Remediation Roadmap'!B4:B37,"Low",'Remediation Roadmap'!L4:L37,"Open")</f>
        <v>0</v>
      </c>
      <c r="E20" s="131" t="n">
        <f aca="false">COUNTIFS('Remediation Roadmap'!B4:B37,"Low",'Remediation Roadmap'!L4:L37,"In Progress")</f>
        <v>0</v>
      </c>
      <c r="F20" s="132" t="n">
        <f aca="false">COUNTIFS('Remediation Roadmap'!B4:B37,"Low",'Remediation Roadmap'!L4:L37,"Completed")</f>
        <v>0</v>
      </c>
      <c r="G20" s="133" t="n">
        <f aca="false">IF(C20=0,0,F20/C20)</f>
        <v>0</v>
      </c>
    </row>
    <row r="21" customFormat="false" ht="12" hidden="false" customHeight="true" outlineLevel="0" collapsed="false"/>
    <row r="22" customFormat="false" ht="19.5" hidden="false" customHeight="true" outlineLevel="0" collapsed="false">
      <c r="B22" s="103" t="s">
        <v>272</v>
      </c>
      <c r="C22" s="103"/>
      <c r="D22" s="103"/>
      <c r="E22" s="103"/>
      <c r="F22" s="103"/>
      <c r="G22" s="103"/>
    </row>
    <row r="23" customFormat="false" ht="18" hidden="false" customHeight="true" outlineLevel="0" collapsed="false">
      <c r="B23" s="111" t="s">
        <v>40</v>
      </c>
      <c r="C23" s="111" t="s">
        <v>269</v>
      </c>
      <c r="D23" s="111" t="s">
        <v>50</v>
      </c>
      <c r="E23" s="111" t="s">
        <v>93</v>
      </c>
      <c r="F23" s="111" t="s">
        <v>164</v>
      </c>
      <c r="G23" s="111" t="s">
        <v>259</v>
      </c>
    </row>
    <row r="24" customFormat="false" ht="19.5" hidden="false" customHeight="true" outlineLevel="0" collapsed="false">
      <c r="B24" s="15" t="s">
        <v>51</v>
      </c>
      <c r="C24" s="134" t="n">
        <f aca="false">COUNTIF('Remediation Roadmap'!C4:C37,"Governance")</f>
        <v>12</v>
      </c>
      <c r="D24" s="135" t="n">
        <f aca="false">COUNTIFS('Remediation Roadmap'!C4:C37,"Governance",'Remediation Roadmap'!B4:B37,"Critical")</f>
        <v>6</v>
      </c>
      <c r="E24" s="136" t="n">
        <f aca="false">COUNTIFS('Remediation Roadmap'!C4:C37,"Governance",'Remediation Roadmap'!B4:B37,"High")</f>
        <v>1</v>
      </c>
      <c r="F24" s="137" t="n">
        <f aca="false">COUNTIFS('Remediation Roadmap'!C4:C37,"Governance",'Remediation Roadmap'!B4:B37,"Medium")</f>
        <v>5</v>
      </c>
      <c r="G24" s="138" t="n">
        <f aca="false">COUNTIFS('Remediation Roadmap'!C4:C37,"Governance",'Remediation Roadmap'!B4:B37,"Low")</f>
        <v>0</v>
      </c>
    </row>
    <row r="25" customFormat="false" ht="19.5" hidden="false" customHeight="true" outlineLevel="0" collapsed="false">
      <c r="B25" s="13" t="s">
        <v>61</v>
      </c>
      <c r="C25" s="139" t="n">
        <f aca="false">COUNTIF('Remediation Roadmap'!C4:C37,"Access Control")</f>
        <v>4</v>
      </c>
      <c r="D25" s="140" t="n">
        <f aca="false">COUNTIFS('Remediation Roadmap'!C4:C37,"Access Control",'Remediation Roadmap'!B4:B37,"Critical")</f>
        <v>2</v>
      </c>
      <c r="E25" s="141" t="n">
        <f aca="false">COUNTIFS('Remediation Roadmap'!C4:C37,"Access Control",'Remediation Roadmap'!B4:B37,"High")</f>
        <v>2</v>
      </c>
      <c r="F25" s="142" t="n">
        <f aca="false">COUNTIFS('Remediation Roadmap'!C4:C37,"Access Control",'Remediation Roadmap'!B4:B37,"Medium")</f>
        <v>0</v>
      </c>
      <c r="G25" s="143" t="n">
        <f aca="false">COUNTIFS('Remediation Roadmap'!C4:C37,"Access Control",'Remediation Roadmap'!B4:B37,"Low")</f>
        <v>0</v>
      </c>
    </row>
    <row r="26" customFormat="false" ht="19.5" hidden="false" customHeight="true" outlineLevel="0" collapsed="false">
      <c r="B26" s="15" t="s">
        <v>122</v>
      </c>
      <c r="C26" s="134" t="n">
        <f aca="false">COUNTIF('Remediation Roadmap'!C4:C37,"Third-Party Risk")</f>
        <v>2</v>
      </c>
      <c r="D26" s="135" t="n">
        <f aca="false">COUNTIFS('Remediation Roadmap'!C4:C37,"Third-Party Risk",'Remediation Roadmap'!B4:B37,"Critical")</f>
        <v>1</v>
      </c>
      <c r="E26" s="136" t="n">
        <f aca="false">COUNTIFS('Remediation Roadmap'!C4:C37,"Third-Party Risk",'Remediation Roadmap'!B4:B37,"High")</f>
        <v>1</v>
      </c>
      <c r="F26" s="137" t="n">
        <f aca="false">COUNTIFS('Remediation Roadmap'!C4:C37,"Third-Party Risk",'Remediation Roadmap'!B4:B37,"Medium")</f>
        <v>0</v>
      </c>
      <c r="G26" s="138" t="n">
        <f aca="false">COUNTIFS('Remediation Roadmap'!C4:C37,"Third-Party Risk",'Remediation Roadmap'!B4:B37,"Low")</f>
        <v>0</v>
      </c>
    </row>
    <row r="27" customFormat="false" ht="19.5" hidden="false" customHeight="true" outlineLevel="0" collapsed="false">
      <c r="B27" s="13" t="s">
        <v>112</v>
      </c>
      <c r="C27" s="139" t="n">
        <f aca="false">COUNTIF('Remediation Roadmap'!C4:C37,"Incident Management")</f>
        <v>2</v>
      </c>
      <c r="D27" s="140" t="n">
        <f aca="false">COUNTIFS('Remediation Roadmap'!C4:C37,"Incident Management",'Remediation Roadmap'!B4:B37,"Critical")</f>
        <v>1</v>
      </c>
      <c r="E27" s="141" t="n">
        <f aca="false">COUNTIFS('Remediation Roadmap'!C4:C37,"Incident Management",'Remediation Roadmap'!B4:B37,"High")</f>
        <v>1</v>
      </c>
      <c r="F27" s="142" t="n">
        <f aca="false">COUNTIFS('Remediation Roadmap'!C4:C37,"Incident Management",'Remediation Roadmap'!B4:B37,"Medium")</f>
        <v>0</v>
      </c>
      <c r="G27" s="143" t="n">
        <f aca="false">COUNTIFS('Remediation Roadmap'!C4:C37,"Incident Management",'Remediation Roadmap'!B4:B37,"Low")</f>
        <v>0</v>
      </c>
    </row>
    <row r="28" customFormat="false" ht="19.5" hidden="false" customHeight="true" outlineLevel="0" collapsed="false">
      <c r="B28" s="15" t="s">
        <v>98</v>
      </c>
      <c r="C28" s="134" t="n">
        <f aca="false">COUNTIF('Remediation Roadmap'!C4:C37,"People Security")</f>
        <v>4</v>
      </c>
      <c r="D28" s="135" t="n">
        <f aca="false">COUNTIFS('Remediation Roadmap'!C4:C37,"People Security",'Remediation Roadmap'!B4:B37,"Critical")</f>
        <v>0</v>
      </c>
      <c r="E28" s="136" t="n">
        <f aca="false">COUNTIFS('Remediation Roadmap'!C4:C37,"People Security",'Remediation Roadmap'!B4:B37,"High")</f>
        <v>3</v>
      </c>
      <c r="F28" s="137" t="n">
        <f aca="false">COUNTIFS('Remediation Roadmap'!C4:C37,"People Security",'Remediation Roadmap'!B4:B37,"Medium")</f>
        <v>1</v>
      </c>
      <c r="G28" s="138" t="n">
        <f aca="false">COUNTIFS('Remediation Roadmap'!C4:C37,"People Security",'Remediation Roadmap'!B4:B37,"Low")</f>
        <v>0</v>
      </c>
    </row>
    <row r="29" customFormat="false" ht="19.5" hidden="false" customHeight="true" outlineLevel="0" collapsed="false">
      <c r="B29" s="13" t="s">
        <v>117</v>
      </c>
      <c r="C29" s="139" t="n">
        <f aca="false">COUNTIF('Remediation Roadmap'!C4:C37,"Vulnerability Management")</f>
        <v>3</v>
      </c>
      <c r="D29" s="140" t="n">
        <f aca="false">COUNTIFS('Remediation Roadmap'!C4:C37,"Vulnerability Management",'Remediation Roadmap'!B4:B37,"Critical")</f>
        <v>1</v>
      </c>
      <c r="E29" s="141" t="n">
        <f aca="false">COUNTIFS('Remediation Roadmap'!C4:C37,"Vulnerability Management",'Remediation Roadmap'!B4:B37,"High")</f>
        <v>2</v>
      </c>
      <c r="F29" s="142" t="n">
        <f aca="false">COUNTIFS('Remediation Roadmap'!C4:C37,"Vulnerability Management",'Remediation Roadmap'!B4:B37,"Medium")</f>
        <v>0</v>
      </c>
      <c r="G29" s="143" t="n">
        <f aca="false">COUNTIFS('Remediation Roadmap'!C4:C37,"Vulnerability Management",'Remediation Roadmap'!B4:B37,"Low")</f>
        <v>0</v>
      </c>
    </row>
    <row r="30" customFormat="false" ht="19.5" hidden="false" customHeight="true" outlineLevel="0" collapsed="false">
      <c r="B30" s="15" t="s">
        <v>154</v>
      </c>
      <c r="C30" s="134" t="n">
        <f aca="false">COUNTIF('Remediation Roadmap'!C4:C37,"Secure Development")</f>
        <v>3</v>
      </c>
      <c r="D30" s="135" t="n">
        <f aca="false">COUNTIFS('Remediation Roadmap'!C4:C37,"Secure Development",'Remediation Roadmap'!B4:B37,"Critical")</f>
        <v>0</v>
      </c>
      <c r="E30" s="136" t="n">
        <f aca="false">COUNTIFS('Remediation Roadmap'!C4:C37,"Secure Development",'Remediation Roadmap'!B4:B37,"High")</f>
        <v>2</v>
      </c>
      <c r="F30" s="137" t="n">
        <f aca="false">COUNTIFS('Remediation Roadmap'!C4:C37,"Secure Development",'Remediation Roadmap'!B4:B37,"Medium")</f>
        <v>1</v>
      </c>
      <c r="G30" s="138" t="n">
        <f aca="false">COUNTIFS('Remediation Roadmap'!C4:C37,"Secure Development",'Remediation Roadmap'!B4:B37,"Low")</f>
        <v>0</v>
      </c>
    </row>
    <row r="31" customFormat="false" ht="19.5" hidden="false" customHeight="true" outlineLevel="0" collapsed="false">
      <c r="B31" s="13" t="s">
        <v>177</v>
      </c>
      <c r="C31" s="139" t="n">
        <f aca="false">COUNTIF('Remediation Roadmap'!C4:C37,"Business Continuity")</f>
        <v>2</v>
      </c>
      <c r="D31" s="140" t="n">
        <f aca="false">COUNTIFS('Remediation Roadmap'!C4:C37,"Business Continuity",'Remediation Roadmap'!B4:B37,"Critical")</f>
        <v>0</v>
      </c>
      <c r="E31" s="141" t="n">
        <f aca="false">COUNTIFS('Remediation Roadmap'!C4:C37,"Business Continuity",'Remediation Roadmap'!B4:B37,"High")</f>
        <v>2</v>
      </c>
      <c r="F31" s="142" t="n">
        <f aca="false">COUNTIFS('Remediation Roadmap'!C4:C37,"Business Continuity",'Remediation Roadmap'!B4:B37,"Medium")</f>
        <v>0</v>
      </c>
      <c r="G31" s="143" t="n">
        <f aca="false">COUNTIFS('Remediation Roadmap'!C4:C37,"Business Continuity",'Remediation Roadmap'!B4:B37,"Low")</f>
        <v>0</v>
      </c>
    </row>
    <row r="32" customFormat="false" ht="19.5" hidden="false" customHeight="true" outlineLevel="0" collapsed="false">
      <c r="B32" s="15" t="s">
        <v>169</v>
      </c>
      <c r="C32" s="134" t="n">
        <f aca="false">COUNTIF('Remediation Roadmap'!C4:C37,"Data Protection")</f>
        <v>2</v>
      </c>
      <c r="D32" s="135" t="n">
        <f aca="false">COUNTIFS('Remediation Roadmap'!C4:C37,"Data Protection",'Remediation Roadmap'!B4:B37,"Critical")</f>
        <v>0</v>
      </c>
      <c r="E32" s="136" t="n">
        <f aca="false">COUNTIFS('Remediation Roadmap'!C4:C37,"Data Protection",'Remediation Roadmap'!B4:B37,"High")</f>
        <v>2</v>
      </c>
      <c r="F32" s="137" t="n">
        <f aca="false">COUNTIFS('Remediation Roadmap'!C4:C37,"Data Protection",'Remediation Roadmap'!B4:B37,"Medium")</f>
        <v>0</v>
      </c>
      <c r="G32" s="138" t="n">
        <f aca="false">COUNTIFS('Remediation Roadmap'!C4:C37,"Data Protection",'Remediation Roadmap'!B4:B37,"Low")</f>
        <v>0</v>
      </c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10">
    <mergeCell ref="B1:G1"/>
    <mergeCell ref="B2:G2"/>
    <mergeCell ref="B4:G4"/>
    <mergeCell ref="B8:G8"/>
    <mergeCell ref="C10:G10"/>
    <mergeCell ref="C11:G11"/>
    <mergeCell ref="C12:G12"/>
    <mergeCell ref="C13:G13"/>
    <mergeCell ref="B15:G15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2026-06-20T18:13:02Z</dcterms:created>
  <dc:creator>openpyxl</dc:creator>
  <dc:description/>
  <dc:language>en-US</dc:language>
  <cp:lastModifiedBy/>
  <dcterms:modified xsi:type="dcterms:W3CDTF">2026-06-20T18:13:02Z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