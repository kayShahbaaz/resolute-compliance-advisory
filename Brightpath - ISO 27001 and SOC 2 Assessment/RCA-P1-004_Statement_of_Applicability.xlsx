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tement of Applicability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<sst xmlns="http://schemas.openxmlformats.org/spreadsheetml/2006/main" count="736" uniqueCount="358">
  <si>
    <t xml:space="preserve">RESOLUTE COMPLIANCE ADVISORY LLP</t>
  </si>
  <si>
    <t xml:space="preserve">Governance · Risk · Compliance</t>
  </si>
  <si>
    <t xml:space="preserve">STATEMENT OF APPLICABILITY</t>
  </si>
  <si>
    <t xml:space="preserve">ISO 27001:2022 Annex A — All 93 Controls</t>
  </si>
  <si>
    <t xml:space="preserve">Prepared for</t>
  </si>
  <si>
    <t xml:space="preserve">Brightpath Technologies Pvt. Ltd.</t>
  </si>
  <si>
    <t xml:space="preserve">IT Services  ·  Bengaluru, India</t>
  </si>
  <si>
    <t xml:space="preserve">Engagement Period: 02 October 2023 – 28 February 2024</t>
  </si>
  <si>
    <t xml:space="preserve">Prepared by</t>
  </si>
  <si>
    <t xml:space="preserve">kay Shahbaaz</t>
  </si>
  <si>
    <t xml:space="preserve">Title</t>
  </si>
  <si>
    <t xml:space="preserve">GRC Analyst</t>
  </si>
  <si>
    <t xml:space="preserve">Date</t>
  </si>
  <si>
    <t xml:space="preserve">28 February 2024</t>
  </si>
  <si>
    <t xml:space="preserve">Field</t>
  </si>
  <si>
    <t xml:space="preserve">Details</t>
  </si>
  <si>
    <t xml:space="preserve">Document Title</t>
  </si>
  <si>
    <t xml:space="preserve">Statement of Applicability</t>
  </si>
  <si>
    <t xml:space="preserve">Document Ref</t>
  </si>
  <si>
    <t xml:space="preserve">RCA-P1-004</t>
  </si>
  <si>
    <t xml:space="preserve">Client</t>
  </si>
  <si>
    <t xml:space="preserve">Project</t>
  </si>
  <si>
    <t xml:space="preserve">ISO 27001:2022 + SOC 2 Compliance Assessment</t>
  </si>
  <si>
    <t xml:space="preserve">Standard</t>
  </si>
  <si>
    <t xml:space="preserve">ISO 27001:2022 Annex A</t>
  </si>
  <si>
    <t xml:space="preserve">Total Controls</t>
  </si>
  <si>
    <t xml:space="preserve">93</t>
  </si>
  <si>
    <t xml:space="preserve">All Controls Applicable</t>
  </si>
  <si>
    <t xml:space="preserve">Yes — see SoA sheet for individual justifications</t>
  </si>
  <si>
    <t xml:space="preserve">Reviewed by</t>
  </si>
  <si>
    <t xml:space="preserve">Resolute Compliance Advisory LLP</t>
  </si>
  <si>
    <t xml:space="preserve">Version</t>
  </si>
  <si>
    <t xml:space="preserve">v1.0</t>
  </si>
  <si>
    <t xml:space="preserve">Classification</t>
  </si>
  <si>
    <t xml:space="preserve">CONFIDENTIAL</t>
  </si>
  <si>
    <t xml:space="preserve">Status</t>
  </si>
  <si>
    <t xml:space="preserve">Final</t>
  </si>
  <si>
    <t xml:space="preserve">CONFIDENTIALITY NOTICE</t>
  </si>
  <si>
    <t xml:space="preserve">This document is prepared exclusively for Brightpath Technologies Pvt. Ltd. and may not be disclosed or distributed without prior written consent of Resolute Compliance Advisory LLP.</t>
  </si>
  <si>
    <t xml:space="preserve">RESOLUTE COMPLIANCE ADVISORY LLP  ·  Statement of Applicability  ·  RCA-P1-004  ·  Brightpath Technologies Pvt. Ltd.</t>
  </si>
  <si>
    <t xml:space="preserve">ISO 27001:2022 Annex A  —  All 93 Controls  —  Assessment Date: October – December 2023  —  Report Date: 28 February 2024</t>
  </si>
  <si>
    <t xml:space="preserve">Control
Ref</t>
  </si>
  <si>
    <t xml:space="preserve">Control Name</t>
  </si>
  <si>
    <t xml:space="preserve">Theme</t>
  </si>
  <si>
    <t xml:space="preserve">Applicable
(Y/N)</t>
  </si>
  <si>
    <t xml:space="preserve">Justification for Inclusion / Exclusion</t>
  </si>
  <si>
    <t xml:space="preserve">Implementation
Status</t>
  </si>
  <si>
    <t xml:space="preserve">Priority</t>
  </si>
  <si>
    <t xml:space="preserve">A.5.1</t>
  </si>
  <si>
    <t xml:space="preserve">Policies for information security</t>
  </si>
  <si>
    <t xml:space="preserve">Organisational</t>
  </si>
  <si>
    <t xml:space="preserve">Yes</t>
  </si>
  <si>
    <t xml:space="preserve">Required to establish the governing framework for all information security activities. No exclusion is justified.</t>
  </si>
  <si>
    <t xml:space="preserve">Non-Conformant</t>
  </si>
  <si>
    <t xml:space="preserve">Critical</t>
  </si>
  <si>
    <t xml:space="preserve">A.5.2</t>
  </si>
  <si>
    <t xml:space="preserve">Information security roles and responsibilities</t>
  </si>
  <si>
    <t xml:space="preserve">Essential for accountability across the ISMS. Roles partially defined but not formally documented.</t>
  </si>
  <si>
    <t xml:space="preserve">Partial</t>
  </si>
  <si>
    <t xml:space="preserve">High</t>
  </si>
  <si>
    <t xml:space="preserve">A.5.3</t>
  </si>
  <si>
    <t xml:space="preserve">Segregation of duties</t>
  </si>
  <si>
    <t xml:space="preserve">Applicable given Brightpath's size and access to client environments. No formal SoD policy exists.</t>
  </si>
  <si>
    <t xml:space="preserve">A.5.4</t>
  </si>
  <si>
    <t xml:space="preserve">Management responsibilities</t>
  </si>
  <si>
    <t xml:space="preserve">Management commitment to information security is required under Clause 5.1. Partially demonstrated.</t>
  </si>
  <si>
    <t xml:space="preserve">Medium</t>
  </si>
  <si>
    <t xml:space="preserve">A.5.5</t>
  </si>
  <si>
    <t xml:space="preserve">Contact with authorities</t>
  </si>
  <si>
    <t xml:space="preserve">Relevant for incident reporting obligations. Basic contact list maintained.</t>
  </si>
  <si>
    <t xml:space="preserve">Conformant</t>
  </si>
  <si>
    <t xml:space="preserve">—</t>
  </si>
  <si>
    <t xml:space="preserve">A.5.6</t>
  </si>
  <si>
    <t xml:space="preserve">Contact with special interest groups</t>
  </si>
  <si>
    <t xml:space="preserve">Applicable for threat intelligence and industry awareness. Informal contacts exist.</t>
  </si>
  <si>
    <t xml:space="preserve">A.5.7</t>
  </si>
  <si>
    <t xml:space="preserve">Threat intelligence</t>
  </si>
  <si>
    <t xml:space="preserve">Relevant given Brightpath's managed services exposure. No formal threat intelligence process.</t>
  </si>
  <si>
    <t xml:space="preserve">A.5.8</t>
  </si>
  <si>
    <t xml:space="preserve">Information security in project management</t>
  </si>
  <si>
    <t xml:space="preserve">Applicable to Brightpath's software development projects for US clients. Not currently integrated.</t>
  </si>
  <si>
    <t xml:space="preserve">A.5.9</t>
  </si>
  <si>
    <t xml:space="preserve">Inventory of information and other associated assets</t>
  </si>
  <si>
    <t xml:space="preserve">Foundational control required for risk assessment and control application. No formal inventory exists.</t>
  </si>
  <si>
    <t xml:space="preserve">A.5.10</t>
  </si>
  <si>
    <t xml:space="preserve">Acceptable use of information and other associated assets</t>
  </si>
  <si>
    <t xml:space="preserve">Required for all staff with access to information assets. Informal guidance only.</t>
  </si>
  <si>
    <t xml:space="preserve">A.5.11</t>
  </si>
  <si>
    <t xml:space="preserve">Return of assets</t>
  </si>
  <si>
    <t xml:space="preserve">Applicable on employee termination. No formal process or checklist in place.</t>
  </si>
  <si>
    <t xml:space="preserve">A.5.12</t>
  </si>
  <si>
    <t xml:space="preserve">Classification of information</t>
  </si>
  <si>
    <t xml:space="preserve">Required to determine appropriate handling of client and internal data. Not implemented.</t>
  </si>
  <si>
    <t xml:space="preserve">A.5.13</t>
  </si>
  <si>
    <t xml:space="preserve">Labelling of information</t>
  </si>
  <si>
    <t xml:space="preserve">Dependent on A.5.12; both must be implemented together. Not implemented.</t>
  </si>
  <si>
    <t xml:space="preserve">A.5.14</t>
  </si>
  <si>
    <t xml:space="preserve">Information transfer</t>
  </si>
  <si>
    <t xml:space="preserve">Applicable given cross-border data flows to US clients. Partial controls in place.</t>
  </si>
  <si>
    <t xml:space="preserve">A.5.15</t>
  </si>
  <si>
    <t xml:space="preserve">Access control</t>
  </si>
  <si>
    <t xml:space="preserve">Core control for all Brightpath systems and client environments. No formal policy exists.</t>
  </si>
  <si>
    <t xml:space="preserve">A.5.16</t>
  </si>
  <si>
    <t xml:space="preserve">Identity management</t>
  </si>
  <si>
    <t xml:space="preserve">AWS IAM in use but without a formal identity management policy or lifecycle process.</t>
  </si>
  <si>
    <t xml:space="preserve">A.5.17</t>
  </si>
  <si>
    <t xml:space="preserve">Authentication information</t>
  </si>
  <si>
    <t xml:space="preserve">Applicable to all system access. Password policy exists informally but is not enforced by policy document.</t>
  </si>
  <si>
    <t xml:space="preserve">A.5.18</t>
  </si>
  <si>
    <t xml:space="preserve">Access rights</t>
  </si>
  <si>
    <t xml:space="preserve">No formal access provisioning, review, or revocation process. Critical gap.</t>
  </si>
  <si>
    <t xml:space="preserve">A.5.19</t>
  </si>
  <si>
    <t xml:space="preserve">Information security in supplier relationships</t>
  </si>
  <si>
    <t xml:space="preserve">Multiple third-party vendors with system access. No security requirements established.</t>
  </si>
  <si>
    <t xml:space="preserve">A.5.20</t>
  </si>
  <si>
    <t xml:space="preserve">Addressing information security within supplier agreements</t>
  </si>
  <si>
    <t xml:space="preserve">Supplier contracts contain no information security clauses. Critical gap.</t>
  </si>
  <si>
    <t xml:space="preserve">A.5.21</t>
  </si>
  <si>
    <t xml:space="preserve">Managing information security in the ICT supply chain</t>
  </si>
  <si>
    <t xml:space="preserve">Applicable given reliance on AWS and third-party software vendors. Not managed.</t>
  </si>
  <si>
    <t xml:space="preserve">A.5.22</t>
  </si>
  <si>
    <t xml:space="preserve">Monitoring, review and change management of supplier services</t>
  </si>
  <si>
    <t xml:space="preserve">No process for ongoing monitoring of supplier security performance.</t>
  </si>
  <si>
    <t xml:space="preserve">A.5.23</t>
  </si>
  <si>
    <t xml:space="preserve">Information security for use of cloud services</t>
  </si>
  <si>
    <t xml:space="preserve">AWS is the primary infrastructure platform. Partial controls via AWS shared responsibility model.</t>
  </si>
  <si>
    <t xml:space="preserve">A.5.24</t>
  </si>
  <si>
    <t xml:space="preserve">Information security incident management planning and preparation</t>
  </si>
  <si>
    <t xml:space="preserve">No incident response plan exists. Critical gap given managed services exposure.</t>
  </si>
  <si>
    <t xml:space="preserve">A.5.25</t>
  </si>
  <si>
    <t xml:space="preserve">Assessment and decision on information security events</t>
  </si>
  <si>
    <t xml:space="preserve">No event classification or assessment process. Ad hoc handling only.</t>
  </si>
  <si>
    <t xml:space="preserve">A.5.26</t>
  </si>
  <si>
    <t xml:space="preserve">Response to information security incidents</t>
  </si>
  <si>
    <t xml:space="preserve">No documented response procedures. Incidents handled informally.</t>
  </si>
  <si>
    <t xml:space="preserve">A.5.27</t>
  </si>
  <si>
    <t xml:space="preserve">Learning from information security incidents</t>
  </si>
  <si>
    <t xml:space="preserve">No post-incident review process or lessons learned register.</t>
  </si>
  <si>
    <t xml:space="preserve">A.5.28</t>
  </si>
  <si>
    <t xml:space="preserve">Collection of evidence</t>
  </si>
  <si>
    <t xml:space="preserve">Basic log collection via CloudTrail but no forensic evidence handling procedures.</t>
  </si>
  <si>
    <t xml:space="preserve">A.5.29</t>
  </si>
  <si>
    <t xml:space="preserve">Information security during disruption</t>
  </si>
  <si>
    <t xml:space="preserve">No BCP or continuity controls for information security during disruption.</t>
  </si>
  <si>
    <t xml:space="preserve">A.5.30</t>
  </si>
  <si>
    <t xml:space="preserve">ICT readiness for business continuity</t>
  </si>
  <si>
    <t xml:space="preserve">AWS backups configured but not tested. No ICT continuity plan.</t>
  </si>
  <si>
    <t xml:space="preserve">A.5.31</t>
  </si>
  <si>
    <t xml:space="preserve">Legal, statutory, regulatory and contractual requirements</t>
  </si>
  <si>
    <t xml:space="preserve">Applicable given US client contracts and potential data protection obligations.</t>
  </si>
  <si>
    <t xml:space="preserve">A.5.32</t>
  </si>
  <si>
    <t xml:space="preserve">Intellectual property rights</t>
  </si>
  <si>
    <t xml:space="preserve">Software licensing controls in place. Conformant.</t>
  </si>
  <si>
    <t xml:space="preserve">A.5.33</t>
  </si>
  <si>
    <t xml:space="preserve">Protection of records</t>
  </si>
  <si>
    <t xml:space="preserve">Retention policy partially defined but not formally approved or communicated.</t>
  </si>
  <si>
    <t xml:space="preserve">A.5.34</t>
  </si>
  <si>
    <t xml:space="preserve">Privacy and protection of personal identifiable information</t>
  </si>
  <si>
    <t xml:space="preserve">Applicable given processing of client employee data. Partial controls only.</t>
  </si>
  <si>
    <t xml:space="preserve">A.5.35</t>
  </si>
  <si>
    <t xml:space="preserve">Independent review of information security</t>
  </si>
  <si>
    <t xml:space="preserve">No internal audit or independent review function. Required for ISMS maturity.</t>
  </si>
  <si>
    <t xml:space="preserve">A.5.36</t>
  </si>
  <si>
    <t xml:space="preserve">Compliance with policies, rules and standards for information security</t>
  </si>
  <si>
    <t xml:space="preserve">No compliance monitoring or review process. Dependent on A.5.1 completion.</t>
  </si>
  <si>
    <t xml:space="preserve">A.5.37</t>
  </si>
  <si>
    <t xml:space="preserve">Documented operating procedures</t>
  </si>
  <si>
    <t xml:space="preserve">Basic IT operating procedures documented. Partially conformant.</t>
  </si>
  <si>
    <t xml:space="preserve">A.6.1</t>
  </si>
  <si>
    <t xml:space="preserve">Screening</t>
  </si>
  <si>
    <t xml:space="preserve">People</t>
  </si>
  <si>
    <t xml:space="preserve">Pre-employment screening required given access to sensitive client environments. Not implemented.</t>
  </si>
  <si>
    <t xml:space="preserve">A.6.2</t>
  </si>
  <si>
    <t xml:space="preserve">Terms and conditions of employment</t>
  </si>
  <si>
    <t xml:space="preserve">Employment contracts exist but do not include information security responsibilities.</t>
  </si>
  <si>
    <t xml:space="preserve">A.6.3</t>
  </si>
  <si>
    <t xml:space="preserve">Information security awareness, education and training</t>
  </si>
  <si>
    <t xml:space="preserve">No formal security awareness training programme. Critical people-layer gap.</t>
  </si>
  <si>
    <t xml:space="preserve">A.6.4</t>
  </si>
  <si>
    <t xml:space="preserve">Disciplinary process</t>
  </si>
  <si>
    <t xml:space="preserve">HR disciplinary process exists and covers misconduct. Conformant.</t>
  </si>
  <si>
    <t xml:space="preserve">A.6.5</t>
  </si>
  <si>
    <t xml:space="preserve">Responsibilities after termination or change of employment</t>
  </si>
  <si>
    <t xml:space="preserve">No offboarding procedure for access revocation. Former employee credentials identified as active.</t>
  </si>
  <si>
    <t xml:space="preserve">A.6.6</t>
  </si>
  <si>
    <t xml:space="preserve">Confidentiality or non-disclosure agreements</t>
  </si>
  <si>
    <t xml:space="preserve">NDAs in place for some staff but not consistently applied. Not enforced by policy.</t>
  </si>
  <si>
    <t xml:space="preserve">A.6.7</t>
  </si>
  <si>
    <t xml:space="preserve">Remote working</t>
  </si>
  <si>
    <t xml:space="preserve">Remote working common but no formal remote working security policy.</t>
  </si>
  <si>
    <t xml:space="preserve">A.6.8</t>
  </si>
  <si>
    <t xml:space="preserve">Information security event reporting</t>
  </si>
  <si>
    <t xml:space="preserve">No defined channel or process for staff to report security events.</t>
  </si>
  <si>
    <t xml:space="preserve">A.7.1</t>
  </si>
  <si>
    <t xml:space="preserve">Physical security perimeters</t>
  </si>
  <si>
    <t xml:space="preserve">Physical</t>
  </si>
  <si>
    <t xml:space="preserve">Office premises have physical access controls. Conformant.</t>
  </si>
  <si>
    <t xml:space="preserve">A.7.2</t>
  </si>
  <si>
    <t xml:space="preserve">Physical entry</t>
  </si>
  <si>
    <t xml:space="preserve">Visitor management and physical entry controls in place. Conformant.</t>
  </si>
  <si>
    <t xml:space="preserve">A.7.3</t>
  </si>
  <si>
    <t xml:space="preserve">Securing offices, rooms and facilities</t>
  </si>
  <si>
    <t xml:space="preserve">Offices and server rooms physically secured. Conformant.</t>
  </si>
  <si>
    <t xml:space="preserve">A.7.4</t>
  </si>
  <si>
    <t xml:space="preserve">Physical security monitoring</t>
  </si>
  <si>
    <t xml:space="preserve">CCTV in place but coverage and review procedures not formally documented.</t>
  </si>
  <si>
    <t xml:space="preserve">A.7.5</t>
  </si>
  <si>
    <t xml:space="preserve">Protecting against physical and environmental threats</t>
  </si>
  <si>
    <t xml:space="preserve">Fire suppression and environmental monitoring in place. Conformant.</t>
  </si>
  <si>
    <t xml:space="preserve">A.7.6</t>
  </si>
  <si>
    <t xml:space="preserve">Working in secure areas</t>
  </si>
  <si>
    <t xml:space="preserve">Secure area procedures not formally documented.</t>
  </si>
  <si>
    <t xml:space="preserve">A.7.7</t>
  </si>
  <si>
    <t xml:space="preserve">Clear desk and clear screen</t>
  </si>
  <si>
    <t xml:space="preserve">No formal clear desk/screen policy. Informal practice only.</t>
  </si>
  <si>
    <t xml:space="preserve">A.7.8</t>
  </si>
  <si>
    <t xml:space="preserve">Equipment siting and protection</t>
  </si>
  <si>
    <t xml:space="preserve">Server hardware appropriately sited and protected. Conformant.</t>
  </si>
  <si>
    <t xml:space="preserve">A.7.9</t>
  </si>
  <si>
    <t xml:space="preserve">Security of assets off-premises</t>
  </si>
  <si>
    <t xml:space="preserve">Laptops used off-premises but no formal off-premises asset security policy.</t>
  </si>
  <si>
    <t xml:space="preserve">A.7.10</t>
  </si>
  <si>
    <t xml:space="preserve">Storage media</t>
  </si>
  <si>
    <t xml:space="preserve">No formal media handling, classification, or disposal procedure.</t>
  </si>
  <si>
    <t xml:space="preserve">A.7.11</t>
  </si>
  <si>
    <t xml:space="preserve">Supporting utilities</t>
  </si>
  <si>
    <t xml:space="preserve">UPS and power management in place. Conformant.</t>
  </si>
  <si>
    <t xml:space="preserve">A.7.12</t>
  </si>
  <si>
    <t xml:space="preserve">Cabling security</t>
  </si>
  <si>
    <t xml:space="preserve">Structured cabling in place and protected. Conformant.</t>
  </si>
  <si>
    <t xml:space="preserve">A.7.13</t>
  </si>
  <si>
    <t xml:space="preserve">Equipment maintenance</t>
  </si>
  <si>
    <t xml:space="preserve">Regular hardware maintenance schedules in place. Conformant.</t>
  </si>
  <si>
    <t xml:space="preserve">A.7.14</t>
  </si>
  <si>
    <t xml:space="preserve">Secure disposal or re-use of equipment</t>
  </si>
  <si>
    <t xml:space="preserve">Informal disposal process. No documented sanitisation procedure.</t>
  </si>
  <si>
    <t xml:space="preserve">A.8.1</t>
  </si>
  <si>
    <t xml:space="preserve">User endpoint devices</t>
  </si>
  <si>
    <t xml:space="preserve">Technological</t>
  </si>
  <si>
    <t xml:space="preserve">Endpoints in use across the organisation. MDM not deployed; informal endpoint controls.</t>
  </si>
  <si>
    <t xml:space="preserve">A.8.2</t>
  </si>
  <si>
    <t xml:space="preserve">Privileged access rights</t>
  </si>
  <si>
    <t xml:space="preserve">Developers have persistent admin access to production AWS. Critical gap.</t>
  </si>
  <si>
    <t xml:space="preserve">A.8.3</t>
  </si>
  <si>
    <t xml:space="preserve">Information access restriction</t>
  </si>
  <si>
    <t xml:space="preserve">Access restrictions partially implemented via AWS IAM. No formal policy.</t>
  </si>
  <si>
    <t xml:space="preserve">A.8.4</t>
  </si>
  <si>
    <t xml:space="preserve">Access to source code</t>
  </si>
  <si>
    <t xml:space="preserve">GitHub used for source control. Access controls present but not formally reviewed.</t>
  </si>
  <si>
    <t xml:space="preserve">A.8.5</t>
  </si>
  <si>
    <t xml:space="preserve">Secure authentication</t>
  </si>
  <si>
    <t xml:space="preserve">MFA not enforced across all AWS accounts. Password complexity informally managed.</t>
  </si>
  <si>
    <t xml:space="preserve">A.8.6</t>
  </si>
  <si>
    <t xml:space="preserve">Capacity management</t>
  </si>
  <si>
    <t xml:space="preserve">AWS auto-scaling in use but no formal capacity management process or thresholds defined.</t>
  </si>
  <si>
    <t xml:space="preserve">A.8.7</t>
  </si>
  <si>
    <t xml:space="preserve">Protection against malware</t>
  </si>
  <si>
    <t xml:space="preserve">Endpoint antivirus deployed and updated. Conformant.</t>
  </si>
  <si>
    <t xml:space="preserve">A.8.8</t>
  </si>
  <si>
    <t xml:space="preserve">Management of technical vulnerabilities</t>
  </si>
  <si>
    <t xml:space="preserve">No vulnerability scanning programme. Patches applied reactively. Critical gap.</t>
  </si>
  <si>
    <t xml:space="preserve">A.8.9</t>
  </si>
  <si>
    <t xml:space="preserve">Configuration management</t>
  </si>
  <si>
    <t xml:space="preserve">No baseline configuration standards or configuration management process.</t>
  </si>
  <si>
    <t xml:space="preserve">A.8.10</t>
  </si>
  <si>
    <t xml:space="preserve">Information deletion</t>
  </si>
  <si>
    <t xml:space="preserve">No formal data deletion procedure aligned to retention policy.</t>
  </si>
  <si>
    <t xml:space="preserve">A.8.11</t>
  </si>
  <si>
    <t xml:space="preserve">Data masking</t>
  </si>
  <si>
    <t xml:space="preserve">No data masking controls for non-production environments.</t>
  </si>
  <si>
    <t xml:space="preserve">A.8.12</t>
  </si>
  <si>
    <t xml:space="preserve">Data leakage prevention</t>
  </si>
  <si>
    <t xml:space="preserve">No DLP controls deployed. Applicable given client data processing.</t>
  </si>
  <si>
    <t xml:space="preserve">A.8.13</t>
  </si>
  <si>
    <t xml:space="preserve">Information backup</t>
  </si>
  <si>
    <t xml:space="preserve">AWS backups configured but not tested. Backup policy not formally documented.</t>
  </si>
  <si>
    <t xml:space="preserve">A.8.14</t>
  </si>
  <si>
    <t xml:space="preserve">Redundancy of information processing facilities</t>
  </si>
  <si>
    <t xml:space="preserve">AWS multi-AZ used for some services. Not formally planned or documented.</t>
  </si>
  <si>
    <t xml:space="preserve">A.8.15</t>
  </si>
  <si>
    <t xml:space="preserve">Logging</t>
  </si>
  <si>
    <t xml:space="preserve">CloudTrail enabled but logs not consistently reviewed. Partial implementation.</t>
  </si>
  <si>
    <t xml:space="preserve">A.8.16</t>
  </si>
  <si>
    <t xml:space="preserve">Monitoring activities</t>
  </si>
  <si>
    <t xml:space="preserve">No scheduled monitoring process. CloudWatch configured but not actively managed.</t>
  </si>
  <si>
    <t xml:space="preserve">A.8.17</t>
  </si>
  <si>
    <t xml:space="preserve">Clock synchronisation</t>
  </si>
  <si>
    <t xml:space="preserve">AWS NTP synchronisation in place. Conformant.</t>
  </si>
  <si>
    <t xml:space="preserve">A.8.18</t>
  </si>
  <si>
    <t xml:space="preserve">Use of privileged utility programs</t>
  </si>
  <si>
    <t xml:space="preserve">No controls restricting access to privileged utilities on production systems.</t>
  </si>
  <si>
    <t xml:space="preserve">A.8.19</t>
  </si>
  <si>
    <t xml:space="preserve">Installation of software on operational systems</t>
  </si>
  <si>
    <t xml:space="preserve">No formal software installation approval process for production systems.</t>
  </si>
  <si>
    <t xml:space="preserve">A.8.20</t>
  </si>
  <si>
    <t xml:space="preserve">Networks security</t>
  </si>
  <si>
    <t xml:space="preserve">AWS VPC in use. Network security partially managed. No formal network security policy.</t>
  </si>
  <si>
    <t xml:space="preserve">A.8.21</t>
  </si>
  <si>
    <t xml:space="preserve">Security of network services</t>
  </si>
  <si>
    <t xml:space="preserve">Network service agreements with AWS. Security requirements not formally documented.</t>
  </si>
  <si>
    <t xml:space="preserve">A.8.22</t>
  </si>
  <si>
    <t xml:space="preserve">Segregation of networks</t>
  </si>
  <si>
    <t xml:space="preserve">Production and development environments not formally segregated at network level.</t>
  </si>
  <si>
    <t xml:space="preserve">A.8.23</t>
  </si>
  <si>
    <t xml:space="preserve">Web filtering</t>
  </si>
  <si>
    <t xml:space="preserve">DNS-level web filtering in place. Conformant.</t>
  </si>
  <si>
    <t xml:space="preserve">A.8.24</t>
  </si>
  <si>
    <t xml:space="preserve">Use of cryptography</t>
  </si>
  <si>
    <t xml:space="preserve">HTTPS enforced for client-facing services. Encryption policy not documented.</t>
  </si>
  <si>
    <t xml:space="preserve">A.8.25</t>
  </si>
  <si>
    <t xml:space="preserve">Secure development life cycle</t>
  </si>
  <si>
    <t xml:space="preserve">No formal SDLC security integration. Development team lacks security training.</t>
  </si>
  <si>
    <t xml:space="preserve">A.8.26</t>
  </si>
  <si>
    <t xml:space="preserve">Application security requirements</t>
  </si>
  <si>
    <t xml:space="preserve">Security requirements not defined at application design stage.</t>
  </si>
  <si>
    <t xml:space="preserve">A.8.27</t>
  </si>
  <si>
    <t xml:space="preserve">Secure system architecture and engineering principles</t>
  </si>
  <si>
    <t xml:space="preserve">No security architecture principles formally defined or enforced.</t>
  </si>
  <si>
    <t xml:space="preserve">A.8.28</t>
  </si>
  <si>
    <t xml:space="preserve">Secure coding</t>
  </si>
  <si>
    <t xml:space="preserve">No secure coding standard. Some informal practices exist.</t>
  </si>
  <si>
    <t xml:space="preserve">A.8.29</t>
  </si>
  <si>
    <t xml:space="preserve">Security testing in development and acceptance</t>
  </si>
  <si>
    <t xml:space="preserve">No security testing prior to production deployment.</t>
  </si>
  <si>
    <t xml:space="preserve">A.8.30</t>
  </si>
  <si>
    <t xml:space="preserve">Outsourced development</t>
  </si>
  <si>
    <t xml:space="preserve">Some development outsourced. No security requirements in outsourcing contracts.</t>
  </si>
  <si>
    <t xml:space="preserve">A.8.31</t>
  </si>
  <si>
    <t xml:space="preserve">Separation of development, test and production environments</t>
  </si>
  <si>
    <t xml:space="preserve">Informal separation in place but not enforced by policy or technical controls.</t>
  </si>
  <si>
    <t xml:space="preserve">A.8.32</t>
  </si>
  <si>
    <t xml:space="preserve">Change management</t>
  </si>
  <si>
    <t xml:space="preserve">Informal change process. No formal change management policy or CAB.</t>
  </si>
  <si>
    <t xml:space="preserve">A.8.33</t>
  </si>
  <si>
    <t xml:space="preserve">Test information</t>
  </si>
  <si>
    <t xml:space="preserve">Production data used in test environments without masking or anonymisation.</t>
  </si>
  <si>
    <t xml:space="preserve">A.8.34</t>
  </si>
  <si>
    <t xml:space="preserve">Protection of information systems during audit testing</t>
  </si>
  <si>
    <t xml:space="preserve">Audit testing procedures defined. Conformant.</t>
  </si>
  <si>
    <t xml:space="preserve">STATEMENT OF APPLICABILITY  —  SUMMARY</t>
  </si>
  <si>
    <t xml:space="preserve">Brightpath Technologies Pvt. Ltd.  ·  RCA-P1-004  ·  ISO 27001:2022 Annex A  ·  28 February 2024</t>
  </si>
  <si>
    <t xml:space="preserve">OVERALL ASSESSMENT SUMMARY</t>
  </si>
  <si>
    <t xml:space="preserve">Conformance %</t>
  </si>
  <si>
    <t xml:space="preserve">BREAKDOWN BY CONTROL THEME</t>
  </si>
  <si>
    <t xml:space="preserve">Total</t>
  </si>
  <si>
    <t xml:space="preserve">Organisational Controls</t>
  </si>
  <si>
    <t xml:space="preserve">People Controls</t>
  </si>
  <si>
    <t xml:space="preserve">Physical Controls</t>
  </si>
  <si>
    <t xml:space="preserve">Technological Controls</t>
  </si>
  <si>
    <t xml:space="preserve">TOTAL</t>
  </si>
  <si>
    <t xml:space="preserve">BREAKDOWN BY REMEDIATION PRIORITY</t>
  </si>
  <si>
    <t xml:space="preserve">Count</t>
  </si>
  <si>
    <t xml:space="preserve">Description</t>
  </si>
  <si>
    <t xml:space="preserve">Standalone audit failure — immediate remediation required</t>
  </si>
  <si>
    <t xml:space="preserve">Significant risk gap — remediate within 90 days</t>
  </si>
  <si>
    <t xml:space="preserve">Moderate gap — remediate within 180 days</t>
  </si>
  <si>
    <t xml:space="preserve">Low</t>
  </si>
  <si>
    <t xml:space="preserve">Minor enhancement — remediate within 12 months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</si>
</sst>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B2A4A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sz val="13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C8A9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6"/>
      <color rgb="FFE67E22"/>
      <name val="Arial"/>
      <family val="0"/>
      <charset val="1"/>
    </font>
    <font>
      <b val="true"/>
      <sz val="16"/>
      <color rgb="FF1E844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1E844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A951"/>
        <bgColor rgb="FFE67E22"/>
      </patternFill>
    </fill>
    <fill>
      <patternFill patternType="solid">
        <fgColor rgb="FFEEF1F7"/>
        <bgColor rgb="FFE8ECF4"/>
      </patternFill>
    </fill>
    <fill>
      <patternFill patternType="solid">
        <fgColor rgb="FFFFFFFF"/>
        <bgColor rgb="FFFEF9E7"/>
      </patternFill>
    </fill>
    <fill>
      <patternFill patternType="solid">
        <fgColor rgb="FFE8ECF4"/>
        <bgColor rgb="FFEEF1F7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EAF4EA"/>
      </patternFill>
    </fill>
    <fill>
      <patternFill patternType="solid">
        <fgColor rgb="FFEAF4EA"/>
        <bgColor rgb="FFEEF1F7"/>
      </patternFill>
    </fill>
    <fill>
      <patternFill patternType="solid">
        <fgColor rgb="FFF4EAF4"/>
        <bgColor rgb="FFEEF1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8A951"/>
      </left>
      <right style="medium">
        <color rgb="FFC8A951"/>
      </right>
      <top style="medium">
        <color rgb="FFC8A951"/>
      </top>
      <bottom/>
      <diagonal/>
    </border>
    <border diagonalUp="false" diagonalDown="false">
      <left style="medium">
        <color rgb="FFC8A951"/>
      </left>
      <right style="medium">
        <color rgb="FFC8A951"/>
      </right>
      <top/>
      <bottom/>
      <diagonal/>
    </border>
    <border diagonalUp="false" diagonalDown="false">
      <left style="medium">
        <color rgb="FFC8A951"/>
      </left>
      <right style="medium">
        <color rgb="FFC8A951"/>
      </right>
      <top/>
      <bottom style="medium">
        <color rgb="FFC8A951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AF4EA"/>
      <rgbColor rgb="FF660066"/>
      <rgbColor rgb="FFFF8080"/>
      <rgbColor rgb="FF0066CC"/>
      <rgbColor rgb="FFF4EA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D5F5E3"/>
      <rgbColor rgb="FFFDEBD0"/>
      <rgbColor rgb="FFEEF1F7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66"/>
      <rgbColor rgb="FFC8A951"/>
      <rgbColor rgb="FF003366"/>
      <rgbColor rgb="FF1E8449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4"/>
  </cols>
  <sheetData>
    <row r="1" customFormat="false" ht="18" hidden="false" customHeight="true" outlineLevel="0" collapsed="false"/>
    <row r="2" customFormat="false" ht="18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1"/>
      <c r="C3" s="1"/>
    </row>
    <row r="4" customFormat="false" ht="18" hidden="false" customHeight="true" outlineLevel="0" collapsed="false">
      <c r="B4" s="2" t="s">
        <v>1</v>
      </c>
      <c r="C4" s="2"/>
    </row>
    <row r="5" customFormat="false" ht="3.75" hidden="false" customHeight="true" outlineLevel="0" collapsed="false">
      <c r="B5" s="3"/>
      <c r="C5" s="3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8" hidden="false" customHeight="true" outlineLevel="0" collapsed="false">
      <c r="B8" s="4" t="s">
        <v>2</v>
      </c>
      <c r="C8" s="4"/>
    </row>
    <row r="9" customFormat="false" ht="18" hidden="false" customHeight="true" outlineLevel="0" collapsed="false">
      <c r="B9" s="5" t="s">
        <v>3</v>
      </c>
      <c r="C9" s="5"/>
    </row>
    <row r="10" customFormat="false" ht="12" hidden="false" customHeight="true" outlineLevel="0" collapsed="false"/>
    <row r="11" customFormat="false" ht="21.75" hidden="false" customHeight="true" outlineLevel="0" collapsed="false">
      <c r="B11" s="6" t="s">
        <v>4</v>
      </c>
      <c r="C11" s="6"/>
    </row>
    <row r="12" customFormat="false" ht="21.75" hidden="false" customHeight="true" outlineLevel="0" collapsed="false">
      <c r="B12" s="7" t="s">
        <v>5</v>
      </c>
      <c r="C12" s="7"/>
    </row>
    <row r="13" customFormat="false" ht="21.75" hidden="false" customHeight="true" outlineLevel="0" collapsed="false">
      <c r="B13" s="8" t="s">
        <v>6</v>
      </c>
      <c r="C13" s="8"/>
    </row>
    <row r="14" customFormat="false" ht="21.75" hidden="false" customHeight="true" outlineLevel="0" collapsed="false">
      <c r="B14" s="9" t="s">
        <v>7</v>
      </c>
      <c r="C14" s="9"/>
    </row>
    <row r="15" customFormat="false" ht="15.75" hidden="false" customHeight="true" outlineLevel="0" collapsed="false">
      <c r="B15" s="10"/>
      <c r="C15" s="10"/>
    </row>
    <row r="16" customFormat="false" ht="21.75" hidden="false" customHeight="true" outlineLevel="0" collapsed="false"/>
    <row r="17" customFormat="false" ht="19.5" hidden="false" customHeight="true" outlineLevel="0" collapsed="false">
      <c r="B17" s="11" t="s">
        <v>8</v>
      </c>
      <c r="C17" s="12" t="s">
        <v>9</v>
      </c>
    </row>
    <row r="18" customFormat="false" ht="19.5" hidden="false" customHeight="true" outlineLevel="0" collapsed="false">
      <c r="B18" s="11" t="s">
        <v>10</v>
      </c>
      <c r="C18" s="12" t="s">
        <v>11</v>
      </c>
    </row>
    <row r="19" customFormat="false" ht="19.5" hidden="false" customHeight="true" outlineLevel="0" collapsed="false">
      <c r="B19" s="11" t="s">
        <v>12</v>
      </c>
      <c r="C19" s="12" t="s">
        <v>13</v>
      </c>
    </row>
    <row r="20" customFormat="false" ht="12" hidden="false" customHeight="true" outlineLevel="0" collapsed="false"/>
    <row r="21" customFormat="false" ht="19.5" hidden="false" customHeight="true" outlineLevel="0" collapsed="false">
      <c r="B21" s="13" t="s">
        <v>14</v>
      </c>
      <c r="C21" s="13" t="s">
        <v>15</v>
      </c>
    </row>
    <row r="22" customFormat="false" ht="18" hidden="false" customHeight="true" outlineLevel="0" collapsed="false">
      <c r="B22" s="14" t="s">
        <v>16</v>
      </c>
      <c r="C22" s="15" t="s">
        <v>17</v>
      </c>
    </row>
    <row r="23" customFormat="false" ht="18" hidden="false" customHeight="true" outlineLevel="0" collapsed="false">
      <c r="B23" s="16" t="s">
        <v>18</v>
      </c>
      <c r="C23" s="17" t="s">
        <v>19</v>
      </c>
    </row>
    <row r="24" customFormat="false" ht="18" hidden="false" customHeight="true" outlineLevel="0" collapsed="false">
      <c r="B24" s="14" t="s">
        <v>20</v>
      </c>
      <c r="C24" s="15" t="s">
        <v>5</v>
      </c>
    </row>
    <row r="25" customFormat="false" ht="18" hidden="false" customHeight="true" outlineLevel="0" collapsed="false">
      <c r="B25" s="16" t="s">
        <v>21</v>
      </c>
      <c r="C25" s="17" t="s">
        <v>22</v>
      </c>
    </row>
    <row r="26" customFormat="false" ht="18" hidden="false" customHeight="true" outlineLevel="0" collapsed="false">
      <c r="B26" s="14" t="s">
        <v>23</v>
      </c>
      <c r="C26" s="15" t="s">
        <v>24</v>
      </c>
    </row>
    <row r="27" customFormat="false" ht="18" hidden="false" customHeight="true" outlineLevel="0" collapsed="false">
      <c r="B27" s="16" t="s">
        <v>25</v>
      </c>
      <c r="C27" s="17" t="s">
        <v>26</v>
      </c>
    </row>
    <row r="28" customFormat="false" ht="18" hidden="false" customHeight="true" outlineLevel="0" collapsed="false">
      <c r="B28" s="14" t="s">
        <v>27</v>
      </c>
      <c r="C28" s="15" t="s">
        <v>28</v>
      </c>
    </row>
    <row r="29" customFormat="false" ht="18" hidden="false" customHeight="true" outlineLevel="0" collapsed="false">
      <c r="B29" s="16" t="s">
        <v>8</v>
      </c>
      <c r="C29" s="17" t="s">
        <v>9</v>
      </c>
    </row>
    <row r="30" customFormat="false" ht="18" hidden="false" customHeight="true" outlineLevel="0" collapsed="false">
      <c r="B30" s="14" t="s">
        <v>29</v>
      </c>
      <c r="C30" s="15" t="s">
        <v>30</v>
      </c>
    </row>
    <row r="31" customFormat="false" ht="18" hidden="false" customHeight="true" outlineLevel="0" collapsed="false">
      <c r="B31" s="16" t="s">
        <v>12</v>
      </c>
      <c r="C31" s="17" t="s">
        <v>13</v>
      </c>
    </row>
    <row r="32" customFormat="false" ht="18" hidden="false" customHeight="true" outlineLevel="0" collapsed="false">
      <c r="B32" s="14" t="s">
        <v>31</v>
      </c>
      <c r="C32" s="15" t="s">
        <v>32</v>
      </c>
    </row>
    <row r="33" customFormat="false" ht="18" hidden="false" customHeight="true" outlineLevel="0" collapsed="false">
      <c r="B33" s="16" t="s">
        <v>33</v>
      </c>
      <c r="C33" s="17" t="s">
        <v>34</v>
      </c>
    </row>
    <row r="34" customFormat="false" ht="18" hidden="false" customHeight="true" outlineLevel="0" collapsed="false">
      <c r="B34" s="14" t="s">
        <v>35</v>
      </c>
      <c r="C34" s="15" t="s">
        <v>36</v>
      </c>
    </row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>
      <c r="B37" s="18" t="s">
        <v>37</v>
      </c>
      <c r="C37" s="18"/>
    </row>
    <row r="38" customFormat="false" ht="31.5" hidden="false" customHeight="true" outlineLevel="0" collapsed="false">
      <c r="B38" s="19" t="s">
        <v>38</v>
      </c>
      <c r="C38" s="19"/>
    </row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2">
    <mergeCell ref="B2:C3"/>
    <mergeCell ref="B4:C4"/>
    <mergeCell ref="B5:C5"/>
    <mergeCell ref="B8:C8"/>
    <mergeCell ref="B9:C9"/>
    <mergeCell ref="B11:C11"/>
    <mergeCell ref="B12:C12"/>
    <mergeCell ref="B13:C13"/>
    <mergeCell ref="B14:C14"/>
    <mergeCell ref="B15:C15"/>
    <mergeCell ref="B37:C37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6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20" t="s">
        <v>39</v>
      </c>
      <c r="B1" s="20"/>
      <c r="C1" s="20"/>
      <c r="D1" s="20"/>
      <c r="E1" s="20"/>
      <c r="F1" s="21" t="s">
        <v>34</v>
      </c>
      <c r="G1" s="21"/>
    </row>
    <row r="2" customFormat="false" ht="18" hidden="false" customHeight="true" outlineLevel="0" collapsed="false">
      <c r="A2" s="22" t="s">
        <v>40</v>
      </c>
      <c r="B2" s="22"/>
      <c r="C2" s="22"/>
      <c r="D2" s="22"/>
      <c r="E2" s="22"/>
      <c r="F2" s="22"/>
      <c r="G2" s="22"/>
    </row>
    <row r="3" customFormat="false" ht="39.75" hidden="false" customHeight="true" outlineLevel="0" collapsed="false">
      <c r="A3" s="23" t="s">
        <v>41</v>
      </c>
      <c r="B3" s="23" t="s">
        <v>42</v>
      </c>
      <c r="C3" s="23" t="s">
        <v>43</v>
      </c>
      <c r="D3" s="23" t="s">
        <v>44</v>
      </c>
      <c r="E3" s="23" t="s">
        <v>45</v>
      </c>
      <c r="F3" s="23" t="s">
        <v>46</v>
      </c>
      <c r="G3" s="23" t="s">
        <v>47</v>
      </c>
    </row>
    <row r="4" customFormat="false" ht="39.75" hidden="false" customHeight="true" outlineLevel="0" collapsed="false">
      <c r="A4" s="24" t="s">
        <v>48</v>
      </c>
      <c r="B4" s="25" t="s">
        <v>49</v>
      </c>
      <c r="C4" s="26" t="s">
        <v>50</v>
      </c>
      <c r="D4" s="27" t="s">
        <v>51</v>
      </c>
      <c r="E4" s="25" t="s">
        <v>52</v>
      </c>
      <c r="F4" s="28" t="s">
        <v>53</v>
      </c>
      <c r="G4" s="28" t="s">
        <v>54</v>
      </c>
    </row>
    <row r="5" customFormat="false" ht="39.75" hidden="false" customHeight="true" outlineLevel="0" collapsed="false">
      <c r="A5" s="24" t="s">
        <v>55</v>
      </c>
      <c r="B5" s="25" t="s">
        <v>56</v>
      </c>
      <c r="C5" s="26" t="s">
        <v>50</v>
      </c>
      <c r="D5" s="27" t="s">
        <v>51</v>
      </c>
      <c r="E5" s="25" t="s">
        <v>57</v>
      </c>
      <c r="F5" s="29" t="s">
        <v>58</v>
      </c>
      <c r="G5" s="29" t="s">
        <v>59</v>
      </c>
    </row>
    <row r="6" customFormat="false" ht="39.75" hidden="false" customHeight="true" outlineLevel="0" collapsed="false">
      <c r="A6" s="24" t="s">
        <v>60</v>
      </c>
      <c r="B6" s="25" t="s">
        <v>61</v>
      </c>
      <c r="C6" s="26" t="s">
        <v>50</v>
      </c>
      <c r="D6" s="27" t="s">
        <v>51</v>
      </c>
      <c r="E6" s="25" t="s">
        <v>62</v>
      </c>
      <c r="F6" s="28" t="s">
        <v>53</v>
      </c>
      <c r="G6" s="29" t="s">
        <v>59</v>
      </c>
    </row>
    <row r="7" customFormat="false" ht="39.75" hidden="false" customHeight="true" outlineLevel="0" collapsed="false">
      <c r="A7" s="24" t="s">
        <v>63</v>
      </c>
      <c r="B7" s="25" t="s">
        <v>64</v>
      </c>
      <c r="C7" s="26" t="s">
        <v>50</v>
      </c>
      <c r="D7" s="27" t="s">
        <v>51</v>
      </c>
      <c r="E7" s="25" t="s">
        <v>65</v>
      </c>
      <c r="F7" s="29" t="s">
        <v>58</v>
      </c>
      <c r="G7" s="30" t="s">
        <v>66</v>
      </c>
    </row>
    <row r="8" customFormat="false" ht="39.75" hidden="false" customHeight="true" outlineLevel="0" collapsed="false">
      <c r="A8" s="24" t="s">
        <v>67</v>
      </c>
      <c r="B8" s="25" t="s">
        <v>68</v>
      </c>
      <c r="C8" s="26" t="s">
        <v>50</v>
      </c>
      <c r="D8" s="27" t="s">
        <v>51</v>
      </c>
      <c r="E8" s="25" t="s">
        <v>69</v>
      </c>
      <c r="F8" s="31" t="s">
        <v>70</v>
      </c>
      <c r="G8" s="32" t="s">
        <v>71</v>
      </c>
    </row>
    <row r="9" customFormat="false" ht="39.75" hidden="false" customHeight="true" outlineLevel="0" collapsed="false">
      <c r="A9" s="24" t="s">
        <v>72</v>
      </c>
      <c r="B9" s="25" t="s">
        <v>73</v>
      </c>
      <c r="C9" s="26" t="s">
        <v>50</v>
      </c>
      <c r="D9" s="27" t="s">
        <v>51</v>
      </c>
      <c r="E9" s="25" t="s">
        <v>74</v>
      </c>
      <c r="F9" s="31" t="s">
        <v>70</v>
      </c>
      <c r="G9" s="32" t="s">
        <v>71</v>
      </c>
    </row>
    <row r="10" customFormat="false" ht="39.75" hidden="false" customHeight="true" outlineLevel="0" collapsed="false">
      <c r="A10" s="24" t="s">
        <v>75</v>
      </c>
      <c r="B10" s="25" t="s">
        <v>76</v>
      </c>
      <c r="C10" s="26" t="s">
        <v>50</v>
      </c>
      <c r="D10" s="27" t="s">
        <v>51</v>
      </c>
      <c r="E10" s="25" t="s">
        <v>77</v>
      </c>
      <c r="F10" s="28" t="s">
        <v>53</v>
      </c>
      <c r="G10" s="29" t="s">
        <v>59</v>
      </c>
    </row>
    <row r="11" customFormat="false" ht="39.75" hidden="false" customHeight="true" outlineLevel="0" collapsed="false">
      <c r="A11" s="24" t="s">
        <v>78</v>
      </c>
      <c r="B11" s="25" t="s">
        <v>79</v>
      </c>
      <c r="C11" s="26" t="s">
        <v>50</v>
      </c>
      <c r="D11" s="27" t="s">
        <v>51</v>
      </c>
      <c r="E11" s="25" t="s">
        <v>80</v>
      </c>
      <c r="F11" s="28" t="s">
        <v>53</v>
      </c>
      <c r="G11" s="30" t="s">
        <v>66</v>
      </c>
    </row>
    <row r="12" customFormat="false" ht="39.75" hidden="false" customHeight="true" outlineLevel="0" collapsed="false">
      <c r="A12" s="24" t="s">
        <v>81</v>
      </c>
      <c r="B12" s="25" t="s">
        <v>82</v>
      </c>
      <c r="C12" s="26" t="s">
        <v>50</v>
      </c>
      <c r="D12" s="27" t="s">
        <v>51</v>
      </c>
      <c r="E12" s="25" t="s">
        <v>83</v>
      </c>
      <c r="F12" s="28" t="s">
        <v>53</v>
      </c>
      <c r="G12" s="28" t="s">
        <v>54</v>
      </c>
    </row>
    <row r="13" customFormat="false" ht="39.75" hidden="false" customHeight="true" outlineLevel="0" collapsed="false">
      <c r="A13" s="24" t="s">
        <v>84</v>
      </c>
      <c r="B13" s="25" t="s">
        <v>85</v>
      </c>
      <c r="C13" s="26" t="s">
        <v>50</v>
      </c>
      <c r="D13" s="27" t="s">
        <v>51</v>
      </c>
      <c r="E13" s="25" t="s">
        <v>86</v>
      </c>
      <c r="F13" s="29" t="s">
        <v>58</v>
      </c>
      <c r="G13" s="30" t="s">
        <v>66</v>
      </c>
    </row>
    <row r="14" customFormat="false" ht="39.75" hidden="false" customHeight="true" outlineLevel="0" collapsed="false">
      <c r="A14" s="24" t="s">
        <v>87</v>
      </c>
      <c r="B14" s="25" t="s">
        <v>88</v>
      </c>
      <c r="C14" s="26" t="s">
        <v>50</v>
      </c>
      <c r="D14" s="27" t="s">
        <v>51</v>
      </c>
      <c r="E14" s="25" t="s">
        <v>89</v>
      </c>
      <c r="F14" s="29" t="s">
        <v>58</v>
      </c>
      <c r="G14" s="30" t="s">
        <v>66</v>
      </c>
    </row>
    <row r="15" customFormat="false" ht="39.75" hidden="false" customHeight="true" outlineLevel="0" collapsed="false">
      <c r="A15" s="24" t="s">
        <v>90</v>
      </c>
      <c r="B15" s="25" t="s">
        <v>91</v>
      </c>
      <c r="C15" s="26" t="s">
        <v>50</v>
      </c>
      <c r="D15" s="27" t="s">
        <v>51</v>
      </c>
      <c r="E15" s="25" t="s">
        <v>92</v>
      </c>
      <c r="F15" s="28" t="s">
        <v>53</v>
      </c>
      <c r="G15" s="29" t="s">
        <v>59</v>
      </c>
    </row>
    <row r="16" customFormat="false" ht="39.75" hidden="false" customHeight="true" outlineLevel="0" collapsed="false">
      <c r="A16" s="24" t="s">
        <v>93</v>
      </c>
      <c r="B16" s="25" t="s">
        <v>94</v>
      </c>
      <c r="C16" s="26" t="s">
        <v>50</v>
      </c>
      <c r="D16" s="27" t="s">
        <v>51</v>
      </c>
      <c r="E16" s="25" t="s">
        <v>95</v>
      </c>
      <c r="F16" s="28" t="s">
        <v>53</v>
      </c>
      <c r="G16" s="30" t="s">
        <v>66</v>
      </c>
    </row>
    <row r="17" customFormat="false" ht="39.75" hidden="false" customHeight="true" outlineLevel="0" collapsed="false">
      <c r="A17" s="24" t="s">
        <v>96</v>
      </c>
      <c r="B17" s="25" t="s">
        <v>97</v>
      </c>
      <c r="C17" s="26" t="s">
        <v>50</v>
      </c>
      <c r="D17" s="27" t="s">
        <v>51</v>
      </c>
      <c r="E17" s="25" t="s">
        <v>98</v>
      </c>
      <c r="F17" s="29" t="s">
        <v>58</v>
      </c>
      <c r="G17" s="29" t="s">
        <v>59</v>
      </c>
    </row>
    <row r="18" customFormat="false" ht="39.75" hidden="false" customHeight="true" outlineLevel="0" collapsed="false">
      <c r="A18" s="24" t="s">
        <v>99</v>
      </c>
      <c r="B18" s="25" t="s">
        <v>100</v>
      </c>
      <c r="C18" s="26" t="s">
        <v>50</v>
      </c>
      <c r="D18" s="27" t="s">
        <v>51</v>
      </c>
      <c r="E18" s="25" t="s">
        <v>101</v>
      </c>
      <c r="F18" s="28" t="s">
        <v>53</v>
      </c>
      <c r="G18" s="28" t="s">
        <v>54</v>
      </c>
    </row>
    <row r="19" customFormat="false" ht="39.75" hidden="false" customHeight="true" outlineLevel="0" collapsed="false">
      <c r="A19" s="24" t="s">
        <v>102</v>
      </c>
      <c r="B19" s="25" t="s">
        <v>103</v>
      </c>
      <c r="C19" s="26" t="s">
        <v>50</v>
      </c>
      <c r="D19" s="27" t="s">
        <v>51</v>
      </c>
      <c r="E19" s="25" t="s">
        <v>104</v>
      </c>
      <c r="F19" s="29" t="s">
        <v>58</v>
      </c>
      <c r="G19" s="29" t="s">
        <v>59</v>
      </c>
    </row>
    <row r="20" customFormat="false" ht="39.75" hidden="false" customHeight="true" outlineLevel="0" collapsed="false">
      <c r="A20" s="24" t="s">
        <v>105</v>
      </c>
      <c r="B20" s="25" t="s">
        <v>106</v>
      </c>
      <c r="C20" s="26" t="s">
        <v>50</v>
      </c>
      <c r="D20" s="27" t="s">
        <v>51</v>
      </c>
      <c r="E20" s="25" t="s">
        <v>107</v>
      </c>
      <c r="F20" s="29" t="s">
        <v>58</v>
      </c>
      <c r="G20" s="29" t="s">
        <v>59</v>
      </c>
    </row>
    <row r="21" customFormat="false" ht="39.75" hidden="false" customHeight="true" outlineLevel="0" collapsed="false">
      <c r="A21" s="24" t="s">
        <v>108</v>
      </c>
      <c r="B21" s="25" t="s">
        <v>109</v>
      </c>
      <c r="C21" s="26" t="s">
        <v>50</v>
      </c>
      <c r="D21" s="27" t="s">
        <v>51</v>
      </c>
      <c r="E21" s="25" t="s">
        <v>110</v>
      </c>
      <c r="F21" s="28" t="s">
        <v>53</v>
      </c>
      <c r="G21" s="28" t="s">
        <v>54</v>
      </c>
    </row>
    <row r="22" customFormat="false" ht="39.75" hidden="false" customHeight="true" outlineLevel="0" collapsed="false">
      <c r="A22" s="24" t="s">
        <v>111</v>
      </c>
      <c r="B22" s="25" t="s">
        <v>112</v>
      </c>
      <c r="C22" s="26" t="s">
        <v>50</v>
      </c>
      <c r="D22" s="27" t="s">
        <v>51</v>
      </c>
      <c r="E22" s="25" t="s">
        <v>113</v>
      </c>
      <c r="F22" s="28" t="s">
        <v>53</v>
      </c>
      <c r="G22" s="28" t="s">
        <v>54</v>
      </c>
    </row>
    <row r="23" customFormat="false" ht="39.75" hidden="false" customHeight="true" outlineLevel="0" collapsed="false">
      <c r="A23" s="24" t="s">
        <v>114</v>
      </c>
      <c r="B23" s="25" t="s">
        <v>115</v>
      </c>
      <c r="C23" s="26" t="s">
        <v>50</v>
      </c>
      <c r="D23" s="27" t="s">
        <v>51</v>
      </c>
      <c r="E23" s="25" t="s">
        <v>116</v>
      </c>
      <c r="F23" s="28" t="s">
        <v>53</v>
      </c>
      <c r="G23" s="28" t="s">
        <v>54</v>
      </c>
    </row>
    <row r="24" customFormat="false" ht="39.75" hidden="false" customHeight="true" outlineLevel="0" collapsed="false">
      <c r="A24" s="24" t="s">
        <v>117</v>
      </c>
      <c r="B24" s="25" t="s">
        <v>118</v>
      </c>
      <c r="C24" s="26" t="s">
        <v>50</v>
      </c>
      <c r="D24" s="27" t="s">
        <v>51</v>
      </c>
      <c r="E24" s="25" t="s">
        <v>119</v>
      </c>
      <c r="F24" s="28" t="s">
        <v>53</v>
      </c>
      <c r="G24" s="29" t="s">
        <v>59</v>
      </c>
    </row>
    <row r="25" customFormat="false" ht="39.75" hidden="false" customHeight="true" outlineLevel="0" collapsed="false">
      <c r="A25" s="24" t="s">
        <v>120</v>
      </c>
      <c r="B25" s="25" t="s">
        <v>121</v>
      </c>
      <c r="C25" s="26" t="s">
        <v>50</v>
      </c>
      <c r="D25" s="27" t="s">
        <v>51</v>
      </c>
      <c r="E25" s="25" t="s">
        <v>122</v>
      </c>
      <c r="F25" s="28" t="s">
        <v>53</v>
      </c>
      <c r="G25" s="29" t="s">
        <v>59</v>
      </c>
    </row>
    <row r="26" customFormat="false" ht="39.75" hidden="false" customHeight="true" outlineLevel="0" collapsed="false">
      <c r="A26" s="24" t="s">
        <v>123</v>
      </c>
      <c r="B26" s="25" t="s">
        <v>124</v>
      </c>
      <c r="C26" s="26" t="s">
        <v>50</v>
      </c>
      <c r="D26" s="27" t="s">
        <v>51</v>
      </c>
      <c r="E26" s="25" t="s">
        <v>125</v>
      </c>
      <c r="F26" s="29" t="s">
        <v>58</v>
      </c>
      <c r="G26" s="29" t="s">
        <v>59</v>
      </c>
    </row>
    <row r="27" customFormat="false" ht="39.75" hidden="false" customHeight="true" outlineLevel="0" collapsed="false">
      <c r="A27" s="24" t="s">
        <v>126</v>
      </c>
      <c r="B27" s="25" t="s">
        <v>127</v>
      </c>
      <c r="C27" s="26" t="s">
        <v>50</v>
      </c>
      <c r="D27" s="27" t="s">
        <v>51</v>
      </c>
      <c r="E27" s="25" t="s">
        <v>128</v>
      </c>
      <c r="F27" s="28" t="s">
        <v>53</v>
      </c>
      <c r="G27" s="28" t="s">
        <v>54</v>
      </c>
    </row>
    <row r="28" customFormat="false" ht="39.75" hidden="false" customHeight="true" outlineLevel="0" collapsed="false">
      <c r="A28" s="24" t="s">
        <v>129</v>
      </c>
      <c r="B28" s="25" t="s">
        <v>130</v>
      </c>
      <c r="C28" s="26" t="s">
        <v>50</v>
      </c>
      <c r="D28" s="27" t="s">
        <v>51</v>
      </c>
      <c r="E28" s="25" t="s">
        <v>131</v>
      </c>
      <c r="F28" s="28" t="s">
        <v>53</v>
      </c>
      <c r="G28" s="29" t="s">
        <v>59</v>
      </c>
    </row>
    <row r="29" customFormat="false" ht="39.75" hidden="false" customHeight="true" outlineLevel="0" collapsed="false">
      <c r="A29" s="24" t="s">
        <v>132</v>
      </c>
      <c r="B29" s="25" t="s">
        <v>133</v>
      </c>
      <c r="C29" s="26" t="s">
        <v>50</v>
      </c>
      <c r="D29" s="27" t="s">
        <v>51</v>
      </c>
      <c r="E29" s="25" t="s">
        <v>134</v>
      </c>
      <c r="F29" s="28" t="s">
        <v>53</v>
      </c>
      <c r="G29" s="28" t="s">
        <v>54</v>
      </c>
    </row>
    <row r="30" customFormat="false" ht="39.75" hidden="false" customHeight="true" outlineLevel="0" collapsed="false">
      <c r="A30" s="24" t="s">
        <v>135</v>
      </c>
      <c r="B30" s="25" t="s">
        <v>136</v>
      </c>
      <c r="C30" s="26" t="s">
        <v>50</v>
      </c>
      <c r="D30" s="27" t="s">
        <v>51</v>
      </c>
      <c r="E30" s="25" t="s">
        <v>137</v>
      </c>
      <c r="F30" s="28" t="s">
        <v>53</v>
      </c>
      <c r="G30" s="30" t="s">
        <v>66</v>
      </c>
    </row>
    <row r="31" customFormat="false" ht="39.75" hidden="false" customHeight="true" outlineLevel="0" collapsed="false">
      <c r="A31" s="24" t="s">
        <v>138</v>
      </c>
      <c r="B31" s="25" t="s">
        <v>139</v>
      </c>
      <c r="C31" s="26" t="s">
        <v>50</v>
      </c>
      <c r="D31" s="27" t="s">
        <v>51</v>
      </c>
      <c r="E31" s="25" t="s">
        <v>140</v>
      </c>
      <c r="F31" s="29" t="s">
        <v>58</v>
      </c>
      <c r="G31" s="30" t="s">
        <v>66</v>
      </c>
    </row>
    <row r="32" customFormat="false" ht="39.75" hidden="false" customHeight="true" outlineLevel="0" collapsed="false">
      <c r="A32" s="24" t="s">
        <v>141</v>
      </c>
      <c r="B32" s="25" t="s">
        <v>142</v>
      </c>
      <c r="C32" s="26" t="s">
        <v>50</v>
      </c>
      <c r="D32" s="27" t="s">
        <v>51</v>
      </c>
      <c r="E32" s="25" t="s">
        <v>143</v>
      </c>
      <c r="F32" s="28" t="s">
        <v>53</v>
      </c>
      <c r="G32" s="29" t="s">
        <v>59</v>
      </c>
    </row>
    <row r="33" customFormat="false" ht="39.75" hidden="false" customHeight="true" outlineLevel="0" collapsed="false">
      <c r="A33" s="24" t="s">
        <v>144</v>
      </c>
      <c r="B33" s="25" t="s">
        <v>145</v>
      </c>
      <c r="C33" s="26" t="s">
        <v>50</v>
      </c>
      <c r="D33" s="27" t="s">
        <v>51</v>
      </c>
      <c r="E33" s="25" t="s">
        <v>146</v>
      </c>
      <c r="F33" s="29" t="s">
        <v>58</v>
      </c>
      <c r="G33" s="29" t="s">
        <v>59</v>
      </c>
    </row>
    <row r="34" customFormat="false" ht="39.75" hidden="false" customHeight="true" outlineLevel="0" collapsed="false">
      <c r="A34" s="24" t="s">
        <v>147</v>
      </c>
      <c r="B34" s="25" t="s">
        <v>148</v>
      </c>
      <c r="C34" s="26" t="s">
        <v>50</v>
      </c>
      <c r="D34" s="27" t="s">
        <v>51</v>
      </c>
      <c r="E34" s="25" t="s">
        <v>149</v>
      </c>
      <c r="F34" s="29" t="s">
        <v>58</v>
      </c>
      <c r="G34" s="30" t="s">
        <v>66</v>
      </c>
    </row>
    <row r="35" customFormat="false" ht="39.75" hidden="false" customHeight="true" outlineLevel="0" collapsed="false">
      <c r="A35" s="24" t="s">
        <v>150</v>
      </c>
      <c r="B35" s="25" t="s">
        <v>151</v>
      </c>
      <c r="C35" s="26" t="s">
        <v>50</v>
      </c>
      <c r="D35" s="27" t="s">
        <v>51</v>
      </c>
      <c r="E35" s="25" t="s">
        <v>152</v>
      </c>
      <c r="F35" s="31" t="s">
        <v>70</v>
      </c>
      <c r="G35" s="32" t="s">
        <v>71</v>
      </c>
    </row>
    <row r="36" customFormat="false" ht="39.75" hidden="false" customHeight="true" outlineLevel="0" collapsed="false">
      <c r="A36" s="24" t="s">
        <v>153</v>
      </c>
      <c r="B36" s="25" t="s">
        <v>154</v>
      </c>
      <c r="C36" s="26" t="s">
        <v>50</v>
      </c>
      <c r="D36" s="27" t="s">
        <v>51</v>
      </c>
      <c r="E36" s="25" t="s">
        <v>155</v>
      </c>
      <c r="F36" s="29" t="s">
        <v>58</v>
      </c>
      <c r="G36" s="30" t="s">
        <v>66</v>
      </c>
    </row>
    <row r="37" customFormat="false" ht="39.75" hidden="false" customHeight="true" outlineLevel="0" collapsed="false">
      <c r="A37" s="24" t="s">
        <v>156</v>
      </c>
      <c r="B37" s="25" t="s">
        <v>157</v>
      </c>
      <c r="C37" s="26" t="s">
        <v>50</v>
      </c>
      <c r="D37" s="27" t="s">
        <v>51</v>
      </c>
      <c r="E37" s="25" t="s">
        <v>158</v>
      </c>
      <c r="F37" s="29" t="s">
        <v>58</v>
      </c>
      <c r="G37" s="29" t="s">
        <v>59</v>
      </c>
    </row>
    <row r="38" customFormat="false" ht="39.75" hidden="false" customHeight="true" outlineLevel="0" collapsed="false">
      <c r="A38" s="24" t="s">
        <v>159</v>
      </c>
      <c r="B38" s="25" t="s">
        <v>160</v>
      </c>
      <c r="C38" s="26" t="s">
        <v>50</v>
      </c>
      <c r="D38" s="27" t="s">
        <v>51</v>
      </c>
      <c r="E38" s="25" t="s">
        <v>161</v>
      </c>
      <c r="F38" s="28" t="s">
        <v>53</v>
      </c>
      <c r="G38" s="29" t="s">
        <v>59</v>
      </c>
    </row>
    <row r="39" customFormat="false" ht="39.75" hidden="false" customHeight="true" outlineLevel="0" collapsed="false">
      <c r="A39" s="24" t="s">
        <v>162</v>
      </c>
      <c r="B39" s="25" t="s">
        <v>163</v>
      </c>
      <c r="C39" s="26" t="s">
        <v>50</v>
      </c>
      <c r="D39" s="27" t="s">
        <v>51</v>
      </c>
      <c r="E39" s="25" t="s">
        <v>164</v>
      </c>
      <c r="F39" s="29" t="s">
        <v>58</v>
      </c>
      <c r="G39" s="30" t="s">
        <v>66</v>
      </c>
    </row>
    <row r="40" customFormat="false" ht="39.75" hidden="false" customHeight="true" outlineLevel="0" collapsed="false">
      <c r="A40" s="24" t="s">
        <v>165</v>
      </c>
      <c r="B40" s="25" t="s">
        <v>166</v>
      </c>
      <c r="C40" s="26" t="s">
        <v>50</v>
      </c>
      <c r="D40" s="27" t="s">
        <v>51</v>
      </c>
      <c r="E40" s="25" t="s">
        <v>167</v>
      </c>
      <c r="F40" s="31" t="s">
        <v>70</v>
      </c>
      <c r="G40" s="32" t="s">
        <v>71</v>
      </c>
    </row>
    <row r="41" customFormat="false" ht="39.75" hidden="false" customHeight="true" outlineLevel="0" collapsed="false">
      <c r="A41" s="33" t="s">
        <v>168</v>
      </c>
      <c r="B41" s="34" t="s">
        <v>169</v>
      </c>
      <c r="C41" s="35" t="s">
        <v>170</v>
      </c>
      <c r="D41" s="36" t="s">
        <v>51</v>
      </c>
      <c r="E41" s="34" t="s">
        <v>171</v>
      </c>
      <c r="F41" s="28" t="s">
        <v>53</v>
      </c>
      <c r="G41" s="29" t="s">
        <v>59</v>
      </c>
    </row>
    <row r="42" customFormat="false" ht="39.75" hidden="false" customHeight="true" outlineLevel="0" collapsed="false">
      <c r="A42" s="33" t="s">
        <v>172</v>
      </c>
      <c r="B42" s="34" t="s">
        <v>173</v>
      </c>
      <c r="C42" s="35" t="s">
        <v>170</v>
      </c>
      <c r="D42" s="36" t="s">
        <v>51</v>
      </c>
      <c r="E42" s="34" t="s">
        <v>174</v>
      </c>
      <c r="F42" s="29" t="s">
        <v>58</v>
      </c>
      <c r="G42" s="30" t="s">
        <v>66</v>
      </c>
    </row>
    <row r="43" customFormat="false" ht="39.75" hidden="false" customHeight="true" outlineLevel="0" collapsed="false">
      <c r="A43" s="33" t="s">
        <v>175</v>
      </c>
      <c r="B43" s="34" t="s">
        <v>176</v>
      </c>
      <c r="C43" s="35" t="s">
        <v>170</v>
      </c>
      <c r="D43" s="36" t="s">
        <v>51</v>
      </c>
      <c r="E43" s="34" t="s">
        <v>177</v>
      </c>
      <c r="F43" s="28" t="s">
        <v>53</v>
      </c>
      <c r="G43" s="28" t="s">
        <v>54</v>
      </c>
    </row>
    <row r="44" customFormat="false" ht="39.75" hidden="false" customHeight="true" outlineLevel="0" collapsed="false">
      <c r="A44" s="33" t="s">
        <v>178</v>
      </c>
      <c r="B44" s="34" t="s">
        <v>179</v>
      </c>
      <c r="C44" s="35" t="s">
        <v>170</v>
      </c>
      <c r="D44" s="36" t="s">
        <v>51</v>
      </c>
      <c r="E44" s="34" t="s">
        <v>180</v>
      </c>
      <c r="F44" s="31" t="s">
        <v>70</v>
      </c>
      <c r="G44" s="32" t="s">
        <v>71</v>
      </c>
    </row>
    <row r="45" customFormat="false" ht="39.75" hidden="false" customHeight="true" outlineLevel="0" collapsed="false">
      <c r="A45" s="33" t="s">
        <v>181</v>
      </c>
      <c r="B45" s="34" t="s">
        <v>182</v>
      </c>
      <c r="C45" s="35" t="s">
        <v>170</v>
      </c>
      <c r="D45" s="36" t="s">
        <v>51</v>
      </c>
      <c r="E45" s="34" t="s">
        <v>183</v>
      </c>
      <c r="F45" s="28" t="s">
        <v>53</v>
      </c>
      <c r="G45" s="29" t="s">
        <v>59</v>
      </c>
    </row>
    <row r="46" customFormat="false" ht="39.75" hidden="false" customHeight="true" outlineLevel="0" collapsed="false">
      <c r="A46" s="33" t="s">
        <v>184</v>
      </c>
      <c r="B46" s="34" t="s">
        <v>185</v>
      </c>
      <c r="C46" s="35" t="s">
        <v>170</v>
      </c>
      <c r="D46" s="36" t="s">
        <v>51</v>
      </c>
      <c r="E46" s="34" t="s">
        <v>186</v>
      </c>
      <c r="F46" s="29" t="s">
        <v>58</v>
      </c>
      <c r="G46" s="30" t="s">
        <v>66</v>
      </c>
    </row>
    <row r="47" customFormat="false" ht="39.75" hidden="false" customHeight="true" outlineLevel="0" collapsed="false">
      <c r="A47" s="33" t="s">
        <v>187</v>
      </c>
      <c r="B47" s="34" t="s">
        <v>188</v>
      </c>
      <c r="C47" s="35" t="s">
        <v>170</v>
      </c>
      <c r="D47" s="36" t="s">
        <v>51</v>
      </c>
      <c r="E47" s="34" t="s">
        <v>189</v>
      </c>
      <c r="F47" s="29" t="s">
        <v>58</v>
      </c>
      <c r="G47" s="30" t="s">
        <v>66</v>
      </c>
    </row>
    <row r="48" customFormat="false" ht="39.75" hidden="false" customHeight="true" outlineLevel="0" collapsed="false">
      <c r="A48" s="33" t="s">
        <v>190</v>
      </c>
      <c r="B48" s="34" t="s">
        <v>191</v>
      </c>
      <c r="C48" s="35" t="s">
        <v>170</v>
      </c>
      <c r="D48" s="36" t="s">
        <v>51</v>
      </c>
      <c r="E48" s="34" t="s">
        <v>192</v>
      </c>
      <c r="F48" s="28" t="s">
        <v>53</v>
      </c>
      <c r="G48" s="29" t="s">
        <v>59</v>
      </c>
    </row>
    <row r="49" customFormat="false" ht="39.75" hidden="false" customHeight="true" outlineLevel="0" collapsed="false">
      <c r="A49" s="30" t="s">
        <v>193</v>
      </c>
      <c r="B49" s="37" t="s">
        <v>194</v>
      </c>
      <c r="C49" s="38" t="s">
        <v>195</v>
      </c>
      <c r="D49" s="39" t="s">
        <v>51</v>
      </c>
      <c r="E49" s="37" t="s">
        <v>196</v>
      </c>
      <c r="F49" s="31" t="s">
        <v>70</v>
      </c>
      <c r="G49" s="32" t="s">
        <v>71</v>
      </c>
    </row>
    <row r="50" customFormat="false" ht="39.75" hidden="false" customHeight="true" outlineLevel="0" collapsed="false">
      <c r="A50" s="30" t="s">
        <v>197</v>
      </c>
      <c r="B50" s="37" t="s">
        <v>198</v>
      </c>
      <c r="C50" s="38" t="s">
        <v>195</v>
      </c>
      <c r="D50" s="39" t="s">
        <v>51</v>
      </c>
      <c r="E50" s="37" t="s">
        <v>199</v>
      </c>
      <c r="F50" s="31" t="s">
        <v>70</v>
      </c>
      <c r="G50" s="32" t="s">
        <v>71</v>
      </c>
    </row>
    <row r="51" customFormat="false" ht="39.75" hidden="false" customHeight="true" outlineLevel="0" collapsed="false">
      <c r="A51" s="30" t="s">
        <v>200</v>
      </c>
      <c r="B51" s="37" t="s">
        <v>201</v>
      </c>
      <c r="C51" s="38" t="s">
        <v>195</v>
      </c>
      <c r="D51" s="39" t="s">
        <v>51</v>
      </c>
      <c r="E51" s="37" t="s">
        <v>202</v>
      </c>
      <c r="F51" s="31" t="s">
        <v>70</v>
      </c>
      <c r="G51" s="32" t="s">
        <v>71</v>
      </c>
    </row>
    <row r="52" customFormat="false" ht="39.75" hidden="false" customHeight="true" outlineLevel="0" collapsed="false">
      <c r="A52" s="30" t="s">
        <v>203</v>
      </c>
      <c r="B52" s="37" t="s">
        <v>204</v>
      </c>
      <c r="C52" s="38" t="s">
        <v>195</v>
      </c>
      <c r="D52" s="39" t="s">
        <v>51</v>
      </c>
      <c r="E52" s="37" t="s">
        <v>205</v>
      </c>
      <c r="F52" s="29" t="s">
        <v>58</v>
      </c>
      <c r="G52" s="30" t="s">
        <v>66</v>
      </c>
    </row>
    <row r="53" customFormat="false" ht="39.75" hidden="false" customHeight="true" outlineLevel="0" collapsed="false">
      <c r="A53" s="30" t="s">
        <v>206</v>
      </c>
      <c r="B53" s="37" t="s">
        <v>207</v>
      </c>
      <c r="C53" s="38" t="s">
        <v>195</v>
      </c>
      <c r="D53" s="39" t="s">
        <v>51</v>
      </c>
      <c r="E53" s="37" t="s">
        <v>208</v>
      </c>
      <c r="F53" s="31" t="s">
        <v>70</v>
      </c>
      <c r="G53" s="32" t="s">
        <v>71</v>
      </c>
    </row>
    <row r="54" customFormat="false" ht="39.75" hidden="false" customHeight="true" outlineLevel="0" collapsed="false">
      <c r="A54" s="30" t="s">
        <v>209</v>
      </c>
      <c r="B54" s="37" t="s">
        <v>210</v>
      </c>
      <c r="C54" s="38" t="s">
        <v>195</v>
      </c>
      <c r="D54" s="39" t="s">
        <v>51</v>
      </c>
      <c r="E54" s="37" t="s">
        <v>211</v>
      </c>
      <c r="F54" s="29" t="s">
        <v>58</v>
      </c>
      <c r="G54" s="30" t="s">
        <v>66</v>
      </c>
    </row>
    <row r="55" customFormat="false" ht="39.75" hidden="false" customHeight="true" outlineLevel="0" collapsed="false">
      <c r="A55" s="30" t="s">
        <v>212</v>
      </c>
      <c r="B55" s="37" t="s">
        <v>213</v>
      </c>
      <c r="C55" s="38" t="s">
        <v>195</v>
      </c>
      <c r="D55" s="39" t="s">
        <v>51</v>
      </c>
      <c r="E55" s="37" t="s">
        <v>214</v>
      </c>
      <c r="F55" s="28" t="s">
        <v>53</v>
      </c>
      <c r="G55" s="30" t="s">
        <v>66</v>
      </c>
    </row>
    <row r="56" customFormat="false" ht="39.75" hidden="false" customHeight="true" outlineLevel="0" collapsed="false">
      <c r="A56" s="30" t="s">
        <v>215</v>
      </c>
      <c r="B56" s="37" t="s">
        <v>216</v>
      </c>
      <c r="C56" s="38" t="s">
        <v>195</v>
      </c>
      <c r="D56" s="39" t="s">
        <v>51</v>
      </c>
      <c r="E56" s="37" t="s">
        <v>217</v>
      </c>
      <c r="F56" s="31" t="s">
        <v>70</v>
      </c>
      <c r="G56" s="32" t="s">
        <v>71</v>
      </c>
    </row>
    <row r="57" customFormat="false" ht="39.75" hidden="false" customHeight="true" outlineLevel="0" collapsed="false">
      <c r="A57" s="30" t="s">
        <v>218</v>
      </c>
      <c r="B57" s="37" t="s">
        <v>219</v>
      </c>
      <c r="C57" s="38" t="s">
        <v>195</v>
      </c>
      <c r="D57" s="39" t="s">
        <v>51</v>
      </c>
      <c r="E57" s="37" t="s">
        <v>220</v>
      </c>
      <c r="F57" s="29" t="s">
        <v>58</v>
      </c>
      <c r="G57" s="30" t="s">
        <v>66</v>
      </c>
    </row>
    <row r="58" customFormat="false" ht="39.75" hidden="false" customHeight="true" outlineLevel="0" collapsed="false">
      <c r="A58" s="30" t="s">
        <v>221</v>
      </c>
      <c r="B58" s="37" t="s">
        <v>222</v>
      </c>
      <c r="C58" s="38" t="s">
        <v>195</v>
      </c>
      <c r="D58" s="39" t="s">
        <v>51</v>
      </c>
      <c r="E58" s="37" t="s">
        <v>223</v>
      </c>
      <c r="F58" s="28" t="s">
        <v>53</v>
      </c>
      <c r="G58" s="29" t="s">
        <v>59</v>
      </c>
    </row>
    <row r="59" customFormat="false" ht="39.75" hidden="false" customHeight="true" outlineLevel="0" collapsed="false">
      <c r="A59" s="30" t="s">
        <v>224</v>
      </c>
      <c r="B59" s="37" t="s">
        <v>225</v>
      </c>
      <c r="C59" s="38" t="s">
        <v>195</v>
      </c>
      <c r="D59" s="39" t="s">
        <v>51</v>
      </c>
      <c r="E59" s="37" t="s">
        <v>226</v>
      </c>
      <c r="F59" s="31" t="s">
        <v>70</v>
      </c>
      <c r="G59" s="32" t="s">
        <v>71</v>
      </c>
    </row>
    <row r="60" customFormat="false" ht="39.75" hidden="false" customHeight="true" outlineLevel="0" collapsed="false">
      <c r="A60" s="30" t="s">
        <v>227</v>
      </c>
      <c r="B60" s="37" t="s">
        <v>228</v>
      </c>
      <c r="C60" s="38" t="s">
        <v>195</v>
      </c>
      <c r="D60" s="39" t="s">
        <v>51</v>
      </c>
      <c r="E60" s="37" t="s">
        <v>229</v>
      </c>
      <c r="F60" s="31" t="s">
        <v>70</v>
      </c>
      <c r="G60" s="32" t="s">
        <v>71</v>
      </c>
    </row>
    <row r="61" customFormat="false" ht="39.75" hidden="false" customHeight="true" outlineLevel="0" collapsed="false">
      <c r="A61" s="30" t="s">
        <v>230</v>
      </c>
      <c r="B61" s="37" t="s">
        <v>231</v>
      </c>
      <c r="C61" s="38" t="s">
        <v>195</v>
      </c>
      <c r="D61" s="39" t="s">
        <v>51</v>
      </c>
      <c r="E61" s="37" t="s">
        <v>232</v>
      </c>
      <c r="F61" s="31" t="s">
        <v>70</v>
      </c>
      <c r="G61" s="32" t="s">
        <v>71</v>
      </c>
    </row>
    <row r="62" customFormat="false" ht="39.75" hidden="false" customHeight="true" outlineLevel="0" collapsed="false">
      <c r="A62" s="30" t="s">
        <v>233</v>
      </c>
      <c r="B62" s="37" t="s">
        <v>234</v>
      </c>
      <c r="C62" s="38" t="s">
        <v>195</v>
      </c>
      <c r="D62" s="39" t="s">
        <v>51</v>
      </c>
      <c r="E62" s="37" t="s">
        <v>235</v>
      </c>
      <c r="F62" s="29" t="s">
        <v>58</v>
      </c>
      <c r="G62" s="30" t="s">
        <v>66</v>
      </c>
    </row>
    <row r="63" customFormat="false" ht="39.75" hidden="false" customHeight="true" outlineLevel="0" collapsed="false">
      <c r="A63" s="40" t="s">
        <v>236</v>
      </c>
      <c r="B63" s="41" t="s">
        <v>237</v>
      </c>
      <c r="C63" s="42" t="s">
        <v>238</v>
      </c>
      <c r="D63" s="43" t="s">
        <v>51</v>
      </c>
      <c r="E63" s="41" t="s">
        <v>239</v>
      </c>
      <c r="F63" s="29" t="s">
        <v>58</v>
      </c>
      <c r="G63" s="29" t="s">
        <v>59</v>
      </c>
    </row>
    <row r="64" customFormat="false" ht="39.75" hidden="false" customHeight="true" outlineLevel="0" collapsed="false">
      <c r="A64" s="40" t="s">
        <v>240</v>
      </c>
      <c r="B64" s="41" t="s">
        <v>241</v>
      </c>
      <c r="C64" s="42" t="s">
        <v>238</v>
      </c>
      <c r="D64" s="43" t="s">
        <v>51</v>
      </c>
      <c r="E64" s="41" t="s">
        <v>242</v>
      </c>
      <c r="F64" s="28" t="s">
        <v>53</v>
      </c>
      <c r="G64" s="28" t="s">
        <v>54</v>
      </c>
    </row>
    <row r="65" customFormat="false" ht="39.75" hidden="false" customHeight="true" outlineLevel="0" collapsed="false">
      <c r="A65" s="40" t="s">
        <v>243</v>
      </c>
      <c r="B65" s="41" t="s">
        <v>244</v>
      </c>
      <c r="C65" s="42" t="s">
        <v>238</v>
      </c>
      <c r="D65" s="43" t="s">
        <v>51</v>
      </c>
      <c r="E65" s="41" t="s">
        <v>245</v>
      </c>
      <c r="F65" s="29" t="s">
        <v>58</v>
      </c>
      <c r="G65" s="29" t="s">
        <v>59</v>
      </c>
    </row>
    <row r="66" customFormat="false" ht="39.75" hidden="false" customHeight="true" outlineLevel="0" collapsed="false">
      <c r="A66" s="40" t="s">
        <v>246</v>
      </c>
      <c r="B66" s="41" t="s">
        <v>247</v>
      </c>
      <c r="C66" s="42" t="s">
        <v>238</v>
      </c>
      <c r="D66" s="43" t="s">
        <v>51</v>
      </c>
      <c r="E66" s="41" t="s">
        <v>248</v>
      </c>
      <c r="F66" s="29" t="s">
        <v>58</v>
      </c>
      <c r="G66" s="30" t="s">
        <v>66</v>
      </c>
    </row>
    <row r="67" customFormat="false" ht="39.75" hidden="false" customHeight="true" outlineLevel="0" collapsed="false">
      <c r="A67" s="40" t="s">
        <v>249</v>
      </c>
      <c r="B67" s="41" t="s">
        <v>250</v>
      </c>
      <c r="C67" s="42" t="s">
        <v>238</v>
      </c>
      <c r="D67" s="43" t="s">
        <v>51</v>
      </c>
      <c r="E67" s="41" t="s">
        <v>251</v>
      </c>
      <c r="F67" s="29" t="s">
        <v>58</v>
      </c>
      <c r="G67" s="29" t="s">
        <v>59</v>
      </c>
    </row>
    <row r="68" customFormat="false" ht="39.75" hidden="false" customHeight="true" outlineLevel="0" collapsed="false">
      <c r="A68" s="40" t="s">
        <v>252</v>
      </c>
      <c r="B68" s="41" t="s">
        <v>253</v>
      </c>
      <c r="C68" s="42" t="s">
        <v>238</v>
      </c>
      <c r="D68" s="43" t="s">
        <v>51</v>
      </c>
      <c r="E68" s="41" t="s">
        <v>254</v>
      </c>
      <c r="F68" s="29" t="s">
        <v>58</v>
      </c>
      <c r="G68" s="30" t="s">
        <v>66</v>
      </c>
    </row>
    <row r="69" customFormat="false" ht="39.75" hidden="false" customHeight="true" outlineLevel="0" collapsed="false">
      <c r="A69" s="40" t="s">
        <v>255</v>
      </c>
      <c r="B69" s="41" t="s">
        <v>256</v>
      </c>
      <c r="C69" s="42" t="s">
        <v>238</v>
      </c>
      <c r="D69" s="43" t="s">
        <v>51</v>
      </c>
      <c r="E69" s="41" t="s">
        <v>257</v>
      </c>
      <c r="F69" s="31" t="s">
        <v>70</v>
      </c>
      <c r="G69" s="32" t="s">
        <v>71</v>
      </c>
    </row>
    <row r="70" customFormat="false" ht="39.75" hidden="false" customHeight="true" outlineLevel="0" collapsed="false">
      <c r="A70" s="40" t="s">
        <v>258</v>
      </c>
      <c r="B70" s="41" t="s">
        <v>259</v>
      </c>
      <c r="C70" s="42" t="s">
        <v>238</v>
      </c>
      <c r="D70" s="43" t="s">
        <v>51</v>
      </c>
      <c r="E70" s="41" t="s">
        <v>260</v>
      </c>
      <c r="F70" s="28" t="s">
        <v>53</v>
      </c>
      <c r="G70" s="28" t="s">
        <v>54</v>
      </c>
    </row>
    <row r="71" customFormat="false" ht="39.75" hidden="false" customHeight="true" outlineLevel="0" collapsed="false">
      <c r="A71" s="40" t="s">
        <v>261</v>
      </c>
      <c r="B71" s="41" t="s">
        <v>262</v>
      </c>
      <c r="C71" s="42" t="s">
        <v>238</v>
      </c>
      <c r="D71" s="43" t="s">
        <v>51</v>
      </c>
      <c r="E71" s="41" t="s">
        <v>263</v>
      </c>
      <c r="F71" s="28" t="s">
        <v>53</v>
      </c>
      <c r="G71" s="29" t="s">
        <v>59</v>
      </c>
    </row>
    <row r="72" customFormat="false" ht="39.75" hidden="false" customHeight="true" outlineLevel="0" collapsed="false">
      <c r="A72" s="40" t="s">
        <v>264</v>
      </c>
      <c r="B72" s="41" t="s">
        <v>265</v>
      </c>
      <c r="C72" s="42" t="s">
        <v>238</v>
      </c>
      <c r="D72" s="43" t="s">
        <v>51</v>
      </c>
      <c r="E72" s="41" t="s">
        <v>266</v>
      </c>
      <c r="F72" s="29" t="s">
        <v>58</v>
      </c>
      <c r="G72" s="30" t="s">
        <v>66</v>
      </c>
    </row>
    <row r="73" customFormat="false" ht="39.75" hidden="false" customHeight="true" outlineLevel="0" collapsed="false">
      <c r="A73" s="40" t="s">
        <v>267</v>
      </c>
      <c r="B73" s="41" t="s">
        <v>268</v>
      </c>
      <c r="C73" s="42" t="s">
        <v>238</v>
      </c>
      <c r="D73" s="43" t="s">
        <v>51</v>
      </c>
      <c r="E73" s="41" t="s">
        <v>269</v>
      </c>
      <c r="F73" s="28" t="s">
        <v>53</v>
      </c>
      <c r="G73" s="29" t="s">
        <v>59</v>
      </c>
    </row>
    <row r="74" customFormat="false" ht="39.75" hidden="false" customHeight="true" outlineLevel="0" collapsed="false">
      <c r="A74" s="40" t="s">
        <v>270</v>
      </c>
      <c r="B74" s="41" t="s">
        <v>271</v>
      </c>
      <c r="C74" s="42" t="s">
        <v>238</v>
      </c>
      <c r="D74" s="43" t="s">
        <v>51</v>
      </c>
      <c r="E74" s="41" t="s">
        <v>272</v>
      </c>
      <c r="F74" s="28" t="s">
        <v>53</v>
      </c>
      <c r="G74" s="29" t="s">
        <v>59</v>
      </c>
    </row>
    <row r="75" customFormat="false" ht="39.75" hidden="false" customHeight="true" outlineLevel="0" collapsed="false">
      <c r="A75" s="40" t="s">
        <v>273</v>
      </c>
      <c r="B75" s="41" t="s">
        <v>274</v>
      </c>
      <c r="C75" s="42" t="s">
        <v>238</v>
      </c>
      <c r="D75" s="43" t="s">
        <v>51</v>
      </c>
      <c r="E75" s="41" t="s">
        <v>275</v>
      </c>
      <c r="F75" s="29" t="s">
        <v>58</v>
      </c>
      <c r="G75" s="30" t="s">
        <v>66</v>
      </c>
    </row>
    <row r="76" customFormat="false" ht="39.75" hidden="false" customHeight="true" outlineLevel="0" collapsed="false">
      <c r="A76" s="40" t="s">
        <v>276</v>
      </c>
      <c r="B76" s="41" t="s">
        <v>277</v>
      </c>
      <c r="C76" s="42" t="s">
        <v>238</v>
      </c>
      <c r="D76" s="43" t="s">
        <v>51</v>
      </c>
      <c r="E76" s="41" t="s">
        <v>278</v>
      </c>
      <c r="F76" s="29" t="s">
        <v>58</v>
      </c>
      <c r="G76" s="30" t="s">
        <v>66</v>
      </c>
    </row>
    <row r="77" customFormat="false" ht="39.75" hidden="false" customHeight="true" outlineLevel="0" collapsed="false">
      <c r="A77" s="40" t="s">
        <v>279</v>
      </c>
      <c r="B77" s="41" t="s">
        <v>280</v>
      </c>
      <c r="C77" s="42" t="s">
        <v>238</v>
      </c>
      <c r="D77" s="43" t="s">
        <v>51</v>
      </c>
      <c r="E77" s="41" t="s">
        <v>281</v>
      </c>
      <c r="F77" s="29" t="s">
        <v>58</v>
      </c>
      <c r="G77" s="29" t="s">
        <v>59</v>
      </c>
    </row>
    <row r="78" customFormat="false" ht="39.75" hidden="false" customHeight="true" outlineLevel="0" collapsed="false">
      <c r="A78" s="40" t="s">
        <v>282</v>
      </c>
      <c r="B78" s="41" t="s">
        <v>283</v>
      </c>
      <c r="C78" s="42" t="s">
        <v>238</v>
      </c>
      <c r="D78" s="43" t="s">
        <v>51</v>
      </c>
      <c r="E78" s="41" t="s">
        <v>284</v>
      </c>
      <c r="F78" s="29" t="s">
        <v>58</v>
      </c>
      <c r="G78" s="29" t="s">
        <v>59</v>
      </c>
    </row>
    <row r="79" customFormat="false" ht="39.75" hidden="false" customHeight="true" outlineLevel="0" collapsed="false">
      <c r="A79" s="40" t="s">
        <v>285</v>
      </c>
      <c r="B79" s="41" t="s">
        <v>286</v>
      </c>
      <c r="C79" s="42" t="s">
        <v>238</v>
      </c>
      <c r="D79" s="43" t="s">
        <v>51</v>
      </c>
      <c r="E79" s="41" t="s">
        <v>287</v>
      </c>
      <c r="F79" s="31" t="s">
        <v>70</v>
      </c>
      <c r="G79" s="32" t="s">
        <v>71</v>
      </c>
    </row>
    <row r="80" customFormat="false" ht="39.75" hidden="false" customHeight="true" outlineLevel="0" collapsed="false">
      <c r="A80" s="40" t="s">
        <v>288</v>
      </c>
      <c r="B80" s="41" t="s">
        <v>289</v>
      </c>
      <c r="C80" s="42" t="s">
        <v>238</v>
      </c>
      <c r="D80" s="43" t="s">
        <v>51</v>
      </c>
      <c r="E80" s="41" t="s">
        <v>290</v>
      </c>
      <c r="F80" s="28" t="s">
        <v>53</v>
      </c>
      <c r="G80" s="29" t="s">
        <v>59</v>
      </c>
    </row>
    <row r="81" customFormat="false" ht="39.75" hidden="false" customHeight="true" outlineLevel="0" collapsed="false">
      <c r="A81" s="40" t="s">
        <v>291</v>
      </c>
      <c r="B81" s="41" t="s">
        <v>292</v>
      </c>
      <c r="C81" s="42" t="s">
        <v>238</v>
      </c>
      <c r="D81" s="43" t="s">
        <v>51</v>
      </c>
      <c r="E81" s="41" t="s">
        <v>293</v>
      </c>
      <c r="F81" s="29" t="s">
        <v>58</v>
      </c>
      <c r="G81" s="30" t="s">
        <v>66</v>
      </c>
    </row>
    <row r="82" customFormat="false" ht="39.75" hidden="false" customHeight="true" outlineLevel="0" collapsed="false">
      <c r="A82" s="40" t="s">
        <v>294</v>
      </c>
      <c r="B82" s="41" t="s">
        <v>295</v>
      </c>
      <c r="C82" s="42" t="s">
        <v>238</v>
      </c>
      <c r="D82" s="43" t="s">
        <v>51</v>
      </c>
      <c r="E82" s="41" t="s">
        <v>296</v>
      </c>
      <c r="F82" s="29" t="s">
        <v>58</v>
      </c>
      <c r="G82" s="29" t="s">
        <v>59</v>
      </c>
    </row>
    <row r="83" customFormat="false" ht="39.75" hidden="false" customHeight="true" outlineLevel="0" collapsed="false">
      <c r="A83" s="40" t="s">
        <v>297</v>
      </c>
      <c r="B83" s="41" t="s">
        <v>298</v>
      </c>
      <c r="C83" s="42" t="s">
        <v>238</v>
      </c>
      <c r="D83" s="43" t="s">
        <v>51</v>
      </c>
      <c r="E83" s="41" t="s">
        <v>299</v>
      </c>
      <c r="F83" s="29" t="s">
        <v>58</v>
      </c>
      <c r="G83" s="30" t="s">
        <v>66</v>
      </c>
    </row>
    <row r="84" customFormat="false" ht="39.75" hidden="false" customHeight="true" outlineLevel="0" collapsed="false">
      <c r="A84" s="40" t="s">
        <v>300</v>
      </c>
      <c r="B84" s="41" t="s">
        <v>301</v>
      </c>
      <c r="C84" s="42" t="s">
        <v>238</v>
      </c>
      <c r="D84" s="43" t="s">
        <v>51</v>
      </c>
      <c r="E84" s="41" t="s">
        <v>302</v>
      </c>
      <c r="F84" s="28" t="s">
        <v>53</v>
      </c>
      <c r="G84" s="29" t="s">
        <v>59</v>
      </c>
    </row>
    <row r="85" customFormat="false" ht="39.75" hidden="false" customHeight="true" outlineLevel="0" collapsed="false">
      <c r="A85" s="40" t="s">
        <v>303</v>
      </c>
      <c r="B85" s="41" t="s">
        <v>304</v>
      </c>
      <c r="C85" s="42" t="s">
        <v>238</v>
      </c>
      <c r="D85" s="43" t="s">
        <v>51</v>
      </c>
      <c r="E85" s="41" t="s">
        <v>305</v>
      </c>
      <c r="F85" s="31" t="s">
        <v>70</v>
      </c>
      <c r="G85" s="32" t="s">
        <v>71</v>
      </c>
    </row>
    <row r="86" customFormat="false" ht="39.75" hidden="false" customHeight="true" outlineLevel="0" collapsed="false">
      <c r="A86" s="40" t="s">
        <v>306</v>
      </c>
      <c r="B86" s="41" t="s">
        <v>307</v>
      </c>
      <c r="C86" s="42" t="s">
        <v>238</v>
      </c>
      <c r="D86" s="43" t="s">
        <v>51</v>
      </c>
      <c r="E86" s="41" t="s">
        <v>308</v>
      </c>
      <c r="F86" s="29" t="s">
        <v>58</v>
      </c>
      <c r="G86" s="29" t="s">
        <v>59</v>
      </c>
    </row>
    <row r="87" customFormat="false" ht="39.75" hidden="false" customHeight="true" outlineLevel="0" collapsed="false">
      <c r="A87" s="40" t="s">
        <v>309</v>
      </c>
      <c r="B87" s="41" t="s">
        <v>310</v>
      </c>
      <c r="C87" s="42" t="s">
        <v>238</v>
      </c>
      <c r="D87" s="43" t="s">
        <v>51</v>
      </c>
      <c r="E87" s="41" t="s">
        <v>311</v>
      </c>
      <c r="F87" s="28" t="s">
        <v>53</v>
      </c>
      <c r="G87" s="29" t="s">
        <v>59</v>
      </c>
    </row>
    <row r="88" customFormat="false" ht="39.75" hidden="false" customHeight="true" outlineLevel="0" collapsed="false">
      <c r="A88" s="40" t="s">
        <v>312</v>
      </c>
      <c r="B88" s="41" t="s">
        <v>313</v>
      </c>
      <c r="C88" s="42" t="s">
        <v>238</v>
      </c>
      <c r="D88" s="43" t="s">
        <v>51</v>
      </c>
      <c r="E88" s="41" t="s">
        <v>314</v>
      </c>
      <c r="F88" s="28" t="s">
        <v>53</v>
      </c>
      <c r="G88" s="29" t="s">
        <v>59</v>
      </c>
    </row>
    <row r="89" customFormat="false" ht="39.75" hidden="false" customHeight="true" outlineLevel="0" collapsed="false">
      <c r="A89" s="40" t="s">
        <v>315</v>
      </c>
      <c r="B89" s="41" t="s">
        <v>316</v>
      </c>
      <c r="C89" s="42" t="s">
        <v>238</v>
      </c>
      <c r="D89" s="43" t="s">
        <v>51</v>
      </c>
      <c r="E89" s="41" t="s">
        <v>317</v>
      </c>
      <c r="F89" s="28" t="s">
        <v>53</v>
      </c>
      <c r="G89" s="29" t="s">
        <v>59</v>
      </c>
    </row>
    <row r="90" customFormat="false" ht="39.75" hidden="false" customHeight="true" outlineLevel="0" collapsed="false">
      <c r="A90" s="40" t="s">
        <v>318</v>
      </c>
      <c r="B90" s="41" t="s">
        <v>319</v>
      </c>
      <c r="C90" s="42" t="s">
        <v>238</v>
      </c>
      <c r="D90" s="43" t="s">
        <v>51</v>
      </c>
      <c r="E90" s="41" t="s">
        <v>320</v>
      </c>
      <c r="F90" s="29" t="s">
        <v>58</v>
      </c>
      <c r="G90" s="30" t="s">
        <v>66</v>
      </c>
    </row>
    <row r="91" customFormat="false" ht="39.75" hidden="false" customHeight="true" outlineLevel="0" collapsed="false">
      <c r="A91" s="40" t="s">
        <v>321</v>
      </c>
      <c r="B91" s="41" t="s">
        <v>322</v>
      </c>
      <c r="C91" s="42" t="s">
        <v>238</v>
      </c>
      <c r="D91" s="43" t="s">
        <v>51</v>
      </c>
      <c r="E91" s="41" t="s">
        <v>323</v>
      </c>
      <c r="F91" s="28" t="s">
        <v>53</v>
      </c>
      <c r="G91" s="29" t="s">
        <v>59</v>
      </c>
    </row>
    <row r="92" customFormat="false" ht="39.75" hidden="false" customHeight="true" outlineLevel="0" collapsed="false">
      <c r="A92" s="40" t="s">
        <v>324</v>
      </c>
      <c r="B92" s="41" t="s">
        <v>325</v>
      </c>
      <c r="C92" s="42" t="s">
        <v>238</v>
      </c>
      <c r="D92" s="43" t="s">
        <v>51</v>
      </c>
      <c r="E92" s="41" t="s">
        <v>326</v>
      </c>
      <c r="F92" s="29" t="s">
        <v>58</v>
      </c>
      <c r="G92" s="30" t="s">
        <v>66</v>
      </c>
    </row>
    <row r="93" customFormat="false" ht="39.75" hidden="false" customHeight="true" outlineLevel="0" collapsed="false">
      <c r="A93" s="40" t="s">
        <v>327</v>
      </c>
      <c r="B93" s="41" t="s">
        <v>328</v>
      </c>
      <c r="C93" s="42" t="s">
        <v>238</v>
      </c>
      <c r="D93" s="43" t="s">
        <v>51</v>
      </c>
      <c r="E93" s="41" t="s">
        <v>329</v>
      </c>
      <c r="F93" s="29" t="s">
        <v>58</v>
      </c>
      <c r="G93" s="29" t="s">
        <v>59</v>
      </c>
    </row>
    <row r="94" customFormat="false" ht="39.75" hidden="false" customHeight="true" outlineLevel="0" collapsed="false">
      <c r="A94" s="40" t="s">
        <v>330</v>
      </c>
      <c r="B94" s="41" t="s">
        <v>331</v>
      </c>
      <c r="C94" s="42" t="s">
        <v>238</v>
      </c>
      <c r="D94" s="43" t="s">
        <v>51</v>
      </c>
      <c r="E94" s="41" t="s">
        <v>332</v>
      </c>
      <c r="F94" s="29" t="s">
        <v>58</v>
      </c>
      <c r="G94" s="30" t="s">
        <v>66</v>
      </c>
    </row>
    <row r="95" customFormat="false" ht="39.75" hidden="false" customHeight="true" outlineLevel="0" collapsed="false">
      <c r="A95" s="40" t="s">
        <v>333</v>
      </c>
      <c r="B95" s="41" t="s">
        <v>334</v>
      </c>
      <c r="C95" s="42" t="s">
        <v>238</v>
      </c>
      <c r="D95" s="43" t="s">
        <v>51</v>
      </c>
      <c r="E95" s="41" t="s">
        <v>335</v>
      </c>
      <c r="F95" s="28" t="s">
        <v>53</v>
      </c>
      <c r="G95" s="30" t="s">
        <v>66</v>
      </c>
    </row>
    <row r="96" customFormat="false" ht="39.75" hidden="false" customHeight="true" outlineLevel="0" collapsed="false">
      <c r="A96" s="40" t="s">
        <v>336</v>
      </c>
      <c r="B96" s="41" t="s">
        <v>337</v>
      </c>
      <c r="C96" s="42" t="s">
        <v>238</v>
      </c>
      <c r="D96" s="43" t="s">
        <v>51</v>
      </c>
      <c r="E96" s="41" t="s">
        <v>338</v>
      </c>
      <c r="F96" s="31" t="s">
        <v>70</v>
      </c>
      <c r="G96" s="32" t="s">
        <v>71</v>
      </c>
    </row>
  </sheetData>
  <mergeCells count="3">
    <mergeCell ref="A1:E1"/>
    <mergeCell ref="F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8"/>
    <col collapsed="false" customWidth="true" hidden="false" outlineLevel="0" max="7" min="7" style="0" width="4"/>
  </cols>
  <sheetData>
    <row r="1" customFormat="false" ht="30" hidden="false" customHeight="true" outlineLevel="0" collapsed="false">
      <c r="B1" s="44" t="s">
        <v>339</v>
      </c>
      <c r="C1" s="44"/>
      <c r="D1" s="44"/>
      <c r="E1" s="44"/>
      <c r="F1" s="44"/>
    </row>
    <row r="2" customFormat="false" ht="18" hidden="false" customHeight="true" outlineLevel="0" collapsed="false">
      <c r="B2" s="45" t="s">
        <v>340</v>
      </c>
      <c r="C2" s="45"/>
      <c r="D2" s="45"/>
      <c r="E2" s="45"/>
      <c r="F2" s="45"/>
    </row>
    <row r="3" customFormat="false" ht="12" hidden="false" customHeight="true" outlineLevel="0" collapsed="false"/>
    <row r="4" customFormat="false" ht="19.5" hidden="false" customHeight="true" outlineLevel="0" collapsed="false">
      <c r="B4" s="46" t="s">
        <v>341</v>
      </c>
      <c r="C4" s="46"/>
      <c r="D4" s="46"/>
      <c r="E4" s="46"/>
      <c r="F4" s="46"/>
    </row>
    <row r="5" customFormat="false" ht="18" hidden="false" customHeight="true" outlineLevel="0" collapsed="false">
      <c r="B5" s="47" t="s">
        <v>25</v>
      </c>
      <c r="C5" s="28" t="s">
        <v>53</v>
      </c>
      <c r="D5" s="29" t="s">
        <v>58</v>
      </c>
      <c r="E5" s="31" t="s">
        <v>70</v>
      </c>
      <c r="F5" s="47" t="s">
        <v>342</v>
      </c>
    </row>
    <row r="6" customFormat="false" ht="30" hidden="false" customHeight="true" outlineLevel="0" collapsed="false">
      <c r="B6" s="48" t="n">
        <f aca="false">COUNTA('Statement of Applicability'!A4:A96)</f>
        <v>93</v>
      </c>
      <c r="C6" s="49" t="n">
        <f aca="false">COUNTIF('Statement of Applicability'!F4:F96,"Non-Conformant")</f>
        <v>37</v>
      </c>
      <c r="D6" s="50" t="n">
        <f aca="false">COUNTIF('Statement of Applicability'!F4:F96,"Partial")</f>
        <v>39</v>
      </c>
      <c r="E6" s="51" t="n">
        <f aca="false">COUNTIF('Statement of Applicability'!F4:F96,"Conformant")</f>
        <v>17</v>
      </c>
      <c r="F6" s="52" t="n">
        <f aca="false">E6/B6</f>
        <v>0.182795698924731</v>
      </c>
    </row>
    <row r="7" customFormat="false" ht="13.5" hidden="false" customHeight="true" outlineLevel="0" collapsed="false"/>
    <row r="8" customFormat="false" ht="19.5" hidden="false" customHeight="true" outlineLevel="0" collapsed="false">
      <c r="B8" s="46" t="s">
        <v>343</v>
      </c>
      <c r="C8" s="46"/>
      <c r="D8" s="46"/>
      <c r="E8" s="46"/>
      <c r="F8" s="46"/>
    </row>
    <row r="9" customFormat="false" ht="18" hidden="false" customHeight="true" outlineLevel="0" collapsed="false">
      <c r="B9" s="53" t="s">
        <v>43</v>
      </c>
      <c r="C9" s="53" t="s">
        <v>344</v>
      </c>
      <c r="D9" s="53" t="s">
        <v>53</v>
      </c>
      <c r="E9" s="53" t="s">
        <v>58</v>
      </c>
      <c r="F9" s="53" t="s">
        <v>70</v>
      </c>
    </row>
    <row r="10" customFormat="false" ht="21.75" hidden="false" customHeight="true" outlineLevel="0" collapsed="false">
      <c r="B10" s="16" t="s">
        <v>345</v>
      </c>
      <c r="C10" s="54" t="n">
        <f aca="false">COUNTIF('Statement of Applicability'!C4:C96,"Organisational")</f>
        <v>37</v>
      </c>
      <c r="D10" s="55" t="n">
        <f aca="false">COUNTIFS('Statement of Applicability'!C4:C96,"Organisational",'Statement of Applicability'!F4:F96,"Non-Conformant")</f>
        <v>19</v>
      </c>
      <c r="E10" s="56" t="n">
        <f aca="false">COUNTIFS('Statement of Applicability'!C4:C96,"Organisational",'Statement of Applicability'!F4:F96,"Partial")</f>
        <v>14</v>
      </c>
      <c r="F10" s="57" t="n">
        <f aca="false">COUNTIFS('Statement of Applicability'!C4:C96,"Organisational",'Statement of Applicability'!F4:F96,"Conformant")</f>
        <v>4</v>
      </c>
    </row>
    <row r="11" customFormat="false" ht="21.75" hidden="false" customHeight="true" outlineLevel="0" collapsed="false">
      <c r="B11" s="58" t="s">
        <v>346</v>
      </c>
      <c r="C11" s="59" t="n">
        <f aca="false">COUNTIF('Statement of Applicability'!C4:C96,"People")</f>
        <v>8</v>
      </c>
      <c r="D11" s="55" t="n">
        <f aca="false">COUNTIFS('Statement of Applicability'!C4:C96,"People",'Statement of Applicability'!F4:F96,"Non-Conformant")</f>
        <v>4</v>
      </c>
      <c r="E11" s="56" t="n">
        <f aca="false">COUNTIFS('Statement of Applicability'!C4:C96,"People",'Statement of Applicability'!F4:F96,"Partial")</f>
        <v>3</v>
      </c>
      <c r="F11" s="57" t="n">
        <f aca="false">COUNTIFS('Statement of Applicability'!C4:C96,"People",'Statement of Applicability'!F4:F96,"Conformant")</f>
        <v>1</v>
      </c>
    </row>
    <row r="12" customFormat="false" ht="21.75" hidden="false" customHeight="true" outlineLevel="0" collapsed="false">
      <c r="B12" s="60" t="s">
        <v>347</v>
      </c>
      <c r="C12" s="61" t="n">
        <f aca="false">COUNTIF('Statement of Applicability'!C4:C96,"Physical")</f>
        <v>14</v>
      </c>
      <c r="D12" s="55" t="n">
        <f aca="false">COUNTIFS('Statement of Applicability'!C4:C96,"Physical",'Statement of Applicability'!F4:F96,"Non-Conformant")</f>
        <v>2</v>
      </c>
      <c r="E12" s="56" t="n">
        <f aca="false">COUNTIFS('Statement of Applicability'!C4:C96,"Physical",'Statement of Applicability'!F4:F96,"Partial")</f>
        <v>4</v>
      </c>
      <c r="F12" s="57" t="n">
        <f aca="false">COUNTIFS('Statement of Applicability'!C4:C96,"Physical",'Statement of Applicability'!F4:F96,"Conformant")</f>
        <v>8</v>
      </c>
    </row>
    <row r="13" customFormat="false" ht="21.75" hidden="false" customHeight="true" outlineLevel="0" collapsed="false">
      <c r="B13" s="62" t="s">
        <v>348</v>
      </c>
      <c r="C13" s="63" t="n">
        <f aca="false">COUNTIF('Statement of Applicability'!C4:C96,"Technological")</f>
        <v>34</v>
      </c>
      <c r="D13" s="55" t="n">
        <f aca="false">COUNTIFS('Statement of Applicability'!C4:C96,"Technological",'Statement of Applicability'!F4:F96,"Non-Conformant")</f>
        <v>12</v>
      </c>
      <c r="E13" s="56" t="n">
        <f aca="false">COUNTIFS('Statement of Applicability'!C4:C96,"Technological",'Statement of Applicability'!F4:F96,"Partial")</f>
        <v>18</v>
      </c>
      <c r="F13" s="57" t="n">
        <f aca="false">COUNTIFS('Statement of Applicability'!C4:C96,"Technological",'Statement of Applicability'!F4:F96,"Conformant")</f>
        <v>4</v>
      </c>
    </row>
    <row r="14" customFormat="false" ht="21.75" hidden="false" customHeight="true" outlineLevel="0" collapsed="false">
      <c r="B14" s="64" t="s">
        <v>349</v>
      </c>
      <c r="C14" s="54" t="n">
        <f aca="false">SUM(C10:C13)</f>
        <v>93</v>
      </c>
      <c r="D14" s="55" t="n">
        <f aca="false">SUM(D10:D13)</f>
        <v>37</v>
      </c>
      <c r="E14" s="56" t="n">
        <f aca="false">SUM(E10:E13)</f>
        <v>39</v>
      </c>
      <c r="F14" s="57" t="n">
        <f aca="false">SUM(F10:F13)</f>
        <v>17</v>
      </c>
    </row>
    <row r="15" customFormat="false" ht="13.5" hidden="false" customHeight="true" outlineLevel="0" collapsed="false"/>
    <row r="16" customFormat="false" ht="19.5" hidden="false" customHeight="true" outlineLevel="0" collapsed="false">
      <c r="B16" s="46" t="s">
        <v>350</v>
      </c>
      <c r="C16" s="46"/>
      <c r="D16" s="46"/>
      <c r="E16" s="46"/>
      <c r="F16" s="46"/>
    </row>
    <row r="17" customFormat="false" ht="18" hidden="false" customHeight="true" outlineLevel="0" collapsed="false">
      <c r="B17" s="53" t="s">
        <v>47</v>
      </c>
      <c r="C17" s="53" t="s">
        <v>351</v>
      </c>
      <c r="D17" s="53" t="s">
        <v>352</v>
      </c>
      <c r="E17" s="53"/>
      <c r="F17" s="53"/>
    </row>
    <row r="18" customFormat="false" ht="21.75" hidden="false" customHeight="true" outlineLevel="0" collapsed="false">
      <c r="B18" s="55" t="s">
        <v>54</v>
      </c>
      <c r="C18" s="65" t="n">
        <f aca="false">COUNTIF('Statement of Applicability'!G4:G96,"Critical")</f>
        <v>11</v>
      </c>
      <c r="D18" s="66" t="s">
        <v>353</v>
      </c>
      <c r="E18" s="66"/>
      <c r="F18" s="66"/>
    </row>
    <row r="19" customFormat="false" ht="21.75" hidden="false" customHeight="true" outlineLevel="0" collapsed="false">
      <c r="B19" s="56" t="s">
        <v>59</v>
      </c>
      <c r="C19" s="67" t="n">
        <f aca="false">COUNTIF('Statement of Applicability'!G4:G96,"High")</f>
        <v>36</v>
      </c>
      <c r="D19" s="68" t="s">
        <v>354</v>
      </c>
      <c r="E19" s="68"/>
      <c r="F19" s="68"/>
    </row>
    <row r="20" customFormat="false" ht="21.75" hidden="false" customHeight="true" outlineLevel="0" collapsed="false">
      <c r="B20" s="69" t="s">
        <v>66</v>
      </c>
      <c r="C20" s="70" t="n">
        <f aca="false">COUNTIF('Statement of Applicability'!G4:G96,"Medium")</f>
        <v>29</v>
      </c>
      <c r="D20" s="71" t="s">
        <v>355</v>
      </c>
      <c r="E20" s="71"/>
      <c r="F20" s="71"/>
    </row>
    <row r="21" customFormat="false" ht="21.75" hidden="false" customHeight="true" outlineLevel="0" collapsed="false">
      <c r="B21" s="57" t="s">
        <v>356</v>
      </c>
      <c r="C21" s="72" t="n">
        <f aca="false">COUNTIF('Statement of Applicability'!G4:G96,"Low")</f>
        <v>0</v>
      </c>
      <c r="D21" s="73" t="s">
        <v>357</v>
      </c>
      <c r="E21" s="73"/>
      <c r="F21" s="73"/>
    </row>
  </sheetData>
  <mergeCells count="9">
    <mergeCell ref="B1:F1"/>
    <mergeCell ref="B2:F2"/>
    <mergeCell ref="B4:F4"/>
    <mergeCell ref="B8:F8"/>
    <mergeCell ref="B16:F16"/>
    <mergeCell ref="D18:F18"/>
    <mergeCell ref="D19:F19"/>
    <mergeCell ref="D20:F20"/>
    <mergeCell ref="D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2026-06-20T11:39:23Z</dcterms:created>
  <dc:creator>openpyxl</dc:creator>
  <dc:description/>
  <dc:language>en-US</dc:language>
  <cp:lastModifiedBy/>
  <dcterms:modified xsi:type="dcterms:W3CDTF">2026-06-20T11:39:23Z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