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ECC_Controls" sheetId="2" state="visible" r:id="rId4"/>
    <sheet name="PDPL_Review" sheetId="3" state="visible" r:id="rId5"/>
    <sheet name="Evidence_Log" sheetId="4" state="visible" r:id="rId6"/>
    <sheet name="Interview_Schedul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<sst xmlns="http://schemas.openxmlformats.org/spreadsheetml/2006/main" count="685" uniqueCount="540">
  <si>
    <t xml:space="preserve">RESOLUTE COMPLIANCE ADVISORY LLP  |  AUDIT FIELDWORK CHECKLIST</t>
  </si>
  <si>
    <t xml:space="preserve">RCA-P4-002  ·  Rawabi Health Services Co.  ·  NCA ECC-1:2018 + PDPL Compliance Audit  ·  CONFIDENTIAL</t>
  </si>
  <si>
    <t xml:space="preserve">Client</t>
  </si>
  <si>
    <t xml:space="preserve">Rawabi Health Services Co.</t>
  </si>
  <si>
    <t xml:space="preserve">Audit Period</t>
  </si>
  <si>
    <t xml:space="preserve">10 November 2024 – 31 January 2025</t>
  </si>
  <si>
    <t xml:space="preserve">Frameworks</t>
  </si>
  <si>
    <t xml:space="preserve">NCA ECC-1:2018  |  Saudi PDPL</t>
  </si>
  <si>
    <t xml:space="preserve">Lead Auditor</t>
  </si>
  <si>
    <t xml:space="preserve">kay Shahbaaz  |  GRC Auditor</t>
  </si>
  <si>
    <t xml:space="preserve">Document Ref</t>
  </si>
  <si>
    <t xml:space="preserve">RCA-P4-002  |  v1.0</t>
  </si>
  <si>
    <t xml:space="preserve">Classification</t>
  </si>
  <si>
    <t xml:space="preserve">CONFIDENTIAL</t>
  </si>
  <si>
    <t xml:space="preserve">Status</t>
  </si>
  <si>
    <t xml:space="preserve">Final</t>
  </si>
  <si>
    <t xml:space="preserve">ECC Conformance Summary</t>
  </si>
  <si>
    <t xml:space="preserve">Metric</t>
  </si>
  <si>
    <t xml:space="preserve">ECC-1:2018 (114 Controls)</t>
  </si>
  <si>
    <t xml:space="preserve">PDPL (5 Obligations)</t>
  </si>
  <si>
    <t xml:space="preserve">Conformant / Met</t>
  </si>
  <si>
    <t xml:space="preserve">Partial</t>
  </si>
  <si>
    <t xml:space="preserve">Non-Conformant / Gap</t>
  </si>
  <si>
    <t xml:space="preserve">Total Assessed</t>
  </si>
  <si>
    <t xml:space="preserve">Conformance %</t>
  </si>
  <si>
    <t xml:space="preserve">Rating Legend</t>
  </si>
  <si>
    <t xml:space="preserve">C</t>
  </si>
  <si>
    <t xml:space="preserve">Conformant</t>
  </si>
  <si>
    <t xml:space="preserve">Control fully implemented; evidence available</t>
  </si>
  <si>
    <t xml:space="preserve">P</t>
  </si>
  <si>
    <t xml:space="preserve">Control partially implemented; gaps present</t>
  </si>
  <si>
    <t xml:space="preserve">NC</t>
  </si>
  <si>
    <t xml:space="preserve">Non-Conformant</t>
  </si>
  <si>
    <t xml:space="preserve">Control absent or ineffective; no evidence</t>
  </si>
  <si>
    <t xml:space="preserve">NA</t>
  </si>
  <si>
    <t xml:space="preserve">Not Applicable</t>
  </si>
  <si>
    <t xml:space="preserve">Control not applicable to Rawabi's environment</t>
  </si>
  <si>
    <t xml:space="preserve">NCA ECC-1:2018 — Audit Fieldwork Checklist  |  Rawabi Health Services Co.  |  RCA-P4-002</t>
  </si>
  <si>
    <t xml:space="preserve">Audit Period: 10 November 2024 – 31 January 2025  ·  Lead Auditor: kay Shahbaaz  ·  CONFIDENTIAL</t>
  </si>
  <si>
    <t xml:space="preserve">Control ID</t>
  </si>
  <si>
    <t xml:space="preserve">Domain</t>
  </si>
  <si>
    <t xml:space="preserve">Control Description</t>
  </si>
  <si>
    <t xml:space="preserve">Audit Procedure / Test</t>
  </si>
  <si>
    <t xml:space="preserve">Rating
(C/P/NC/NA)</t>
  </si>
  <si>
    <t xml:space="preserve">Evidence Reviewed</t>
  </si>
  <si>
    <t xml:space="preserve">Auditor Observations</t>
  </si>
  <si>
    <t xml:space="preserve">Finding Ref</t>
  </si>
  <si>
    <t xml:space="preserve">Assigned To
(Client)</t>
  </si>
  <si>
    <t xml:space="preserve">Target Date</t>
  </si>
  <si>
    <t xml:space="preserve">Notes</t>
  </si>
  <si>
    <t xml:space="preserve">DOMAIN 1 — GOVERNANCE</t>
  </si>
  <si>
    <t xml:space="preserve">ECC-1:1-1-1</t>
  </si>
  <si>
    <t xml:space="preserve">1 — Governance</t>
  </si>
  <si>
    <t xml:space="preserve">Cybersecurity strategy aligned with organisational objectives</t>
  </si>
  <si>
    <t xml:space="preserve">Review documented cybersecurity strategy; verify approval by senior management; confirm alignment with business objectives</t>
  </si>
  <si>
    <t xml:space="preserve">ECC-1:1-1-2</t>
  </si>
  <si>
    <t xml:space="preserve">Cybersecurity governance roles and responsibilities defined</t>
  </si>
  <si>
    <t xml:space="preserve">Review RACI or equivalent; confirm CISO or equivalent role defined; verify reporting lines documented</t>
  </si>
  <si>
    <t xml:space="preserve">ECC-1:1-1-3</t>
  </si>
  <si>
    <t xml:space="preserve">Cybersecurity policies approved and communicated</t>
  </si>
  <si>
    <t xml:space="preserve">Obtain information security policy; verify approval date and signatory; confirm distribution mechanism to staff</t>
  </si>
  <si>
    <t xml:space="preserve">ECC-1:1-1-4</t>
  </si>
  <si>
    <t xml:space="preserve">Cybersecurity objectives and KPIs defined and tracked</t>
  </si>
  <si>
    <t xml:space="preserve">Review cybersecurity KPIs or metrics; confirm periodic review cycle; verify escalation process for KPI breaches</t>
  </si>
  <si>
    <t xml:space="preserve">ECC-1:1-1-5</t>
  </si>
  <si>
    <t xml:space="preserve">Cybersecurity budget allocated</t>
  </si>
  <si>
    <t xml:space="preserve">Confirm existence of dedicated cybersecurity budget line; verify approval and review process</t>
  </si>
  <si>
    <t xml:space="preserve">ECC-1:1-1-6</t>
  </si>
  <si>
    <t xml:space="preserve">Cybersecurity compliance with laws and regulations managed</t>
  </si>
  <si>
    <t xml:space="preserve">Review compliance register; confirm NCA ECC and PDPL obligations identified; verify accountable owner assigned</t>
  </si>
  <si>
    <t xml:space="preserve">ECC-1:1-2-1</t>
  </si>
  <si>
    <t xml:space="preserve">Cybersecurity risk assessment methodology defined</t>
  </si>
  <si>
    <t xml:space="preserve">Obtain risk methodology documentation; verify likelihood × impact scoring or equivalent; confirm approval</t>
  </si>
  <si>
    <t xml:space="preserve">ECC-1:1-2-2</t>
  </si>
  <si>
    <t xml:space="preserve">Cybersecurity risk assessment conducted and documented</t>
  </si>
  <si>
    <t xml:space="preserve">Obtain current risk register; verify last assessment date; review risk identification, scoring, and treatment decisions</t>
  </si>
  <si>
    <t xml:space="preserve">ECC-1:1-2-3</t>
  </si>
  <si>
    <t xml:space="preserve">Risk treatment plan in place and monitored</t>
  </si>
  <si>
    <t xml:space="preserve">Review risk treatment plan; verify action owners and target dates; confirm monitoring frequency</t>
  </si>
  <si>
    <t xml:space="preserve">ECC-1:1-2-4</t>
  </si>
  <si>
    <t xml:space="preserve">Risk acceptance process defined and documented</t>
  </si>
  <si>
    <t xml:space="preserve">Review residual risk acceptance records; confirm appropriate authority level for sign-off</t>
  </si>
  <si>
    <t xml:space="preserve">ECC-1:1-3-1</t>
  </si>
  <si>
    <t xml:space="preserve">Cybersecurity awareness programme implemented</t>
  </si>
  <si>
    <t xml:space="preserve">Obtain training records; confirm all staff covered; verify content includes data handling, phishing, PDPL obligations; check frequency</t>
  </si>
  <si>
    <t xml:space="preserve">ECC-1:1-3-2</t>
  </si>
  <si>
    <t xml:space="preserve">Specialised cybersecurity training for IT staff</t>
  </si>
  <si>
    <t xml:space="preserve">Confirm technical training records for IT team; verify topics include ECC controls and incident response</t>
  </si>
  <si>
    <t xml:space="preserve">ECC-1:1-4-1</t>
  </si>
  <si>
    <t xml:space="preserve">Cybersecurity incident management policy defined</t>
  </si>
  <si>
    <t xml:space="preserve">Obtain incident response policy; verify scope covers data breaches; confirm PDPL breach notification obligations included</t>
  </si>
  <si>
    <t xml:space="preserve">ECC-1:1-4-2</t>
  </si>
  <si>
    <t xml:space="preserve">Incident response procedures documented and tested</t>
  </si>
  <si>
    <t xml:space="preserve">Obtain IR procedure; verify escalation paths; confirm tabletop or simulation exercise conducted; check test date</t>
  </si>
  <si>
    <t xml:space="preserve">ECC-1:1-4-3</t>
  </si>
  <si>
    <t xml:space="preserve">Incident response team defined with roles assigned</t>
  </si>
  <si>
    <t xml:space="preserve">Confirm IR team composition; verify roles and contact list; check availability (24/7 or business hours)</t>
  </si>
  <si>
    <t xml:space="preserve">ECC-1:1-4-4</t>
  </si>
  <si>
    <t xml:space="preserve">Incidents logged and tracked to closure</t>
  </si>
  <si>
    <t xml:space="preserve">Review incident log; confirm ticket lifecycle management; verify closure verification process</t>
  </si>
  <si>
    <t xml:space="preserve">ECC-1:1-5-1</t>
  </si>
  <si>
    <t xml:space="preserve">Business continuity plan (BCP) documented and approved</t>
  </si>
  <si>
    <t xml:space="preserve">Obtain BCP document; verify approval; confirm healthcare operations continuity addressed including Napas HIS and Agfa PACS</t>
  </si>
  <si>
    <t xml:space="preserve">ECC-1:1-5-2</t>
  </si>
  <si>
    <t xml:space="preserve">Disaster recovery plan (DRP) documented and tested</t>
  </si>
  <si>
    <t xml:space="preserve">Obtain DRP; verify RTO/RPO defined for critical systems; confirm last DR test date and results</t>
  </si>
  <si>
    <t xml:space="preserve">ECC-1:1-5-3</t>
  </si>
  <si>
    <t xml:space="preserve">BCP/DRP tested regularly</t>
  </si>
  <si>
    <t xml:space="preserve">Review BCP/DRP test records; confirm test frequency; verify lessons learned documented and actioned</t>
  </si>
  <si>
    <t xml:space="preserve">ECC-1:1-6-1</t>
  </si>
  <si>
    <t xml:space="preserve">Cybersecurity compliance assessments conducted periodically</t>
  </si>
  <si>
    <t xml:space="preserve">Confirm schedule for internal or external compliance assessments; verify last assessment date; review findings tracking</t>
  </si>
  <si>
    <t xml:space="preserve">ECC-1:1-6-2</t>
  </si>
  <si>
    <t xml:space="preserve">Compliance findings tracked and remediated</t>
  </si>
  <si>
    <t xml:space="preserve">Review findings log from prior assessments; confirm owner assignment; verify closure evidence for remediated items</t>
  </si>
  <si>
    <t xml:space="preserve">DOMAIN 2 — RISK MGMT</t>
  </si>
  <si>
    <t xml:space="preserve">ECC-1:2-1-1</t>
  </si>
  <si>
    <t xml:space="preserve">2 — Risk Mgmt</t>
  </si>
  <si>
    <t xml:space="preserve">Asset inventory maintained for all information assets</t>
  </si>
  <si>
    <t xml:space="preserve">Obtain asset register; verify coverage of Napas HIS, Agfa PACS, SAP B1, servers, endpoints, and cloud services; confirm last update date</t>
  </si>
  <si>
    <t xml:space="preserve">ECC-1:2-1-2</t>
  </si>
  <si>
    <t xml:space="preserve">Assets classified according to sensitivity and criticality</t>
  </si>
  <si>
    <t xml:space="preserve">Review asset classification scheme; verify health data systems (Napas HIS, Agfa PACS) classified as critical; confirm classification applied</t>
  </si>
  <si>
    <t xml:space="preserve">ECC-1:2-1-3</t>
  </si>
  <si>
    <t xml:space="preserve">Asset ownership assigned</t>
  </si>
  <si>
    <t xml:space="preserve">Confirm asset owner assignments in register; verify clinical vs IT ownership boundaries; check review process</t>
  </si>
  <si>
    <t xml:space="preserve">ECC-1:2-2-1</t>
  </si>
  <si>
    <t xml:space="preserve">Vulnerability management programme established</t>
  </si>
  <si>
    <t xml:space="preserve">Obtain vulnerability management policy; confirm scanning tool in use; verify scope includes Windows endpoints and servers</t>
  </si>
  <si>
    <t xml:space="preserve">ECC-1:2-2-2</t>
  </si>
  <si>
    <t xml:space="preserve">Vulnerability scanning conducted regularly</t>
  </si>
  <si>
    <t xml:space="preserve">Review last vulnerability scan report; confirm scan frequency; check coverage of 180 Windows endpoints; verify critical/high findings tracked</t>
  </si>
  <si>
    <t xml:space="preserve">ECC-1:2-2-3</t>
  </si>
  <si>
    <t xml:space="preserve">Patch management process defined and followed</t>
  </si>
  <si>
    <t xml:space="preserve">Obtain patch management procedure; confirm patching schedule; verify Windows endpoints patch status; check unpatched systems list</t>
  </si>
  <si>
    <t xml:space="preserve">ECC-1:2-2-4</t>
  </si>
  <si>
    <t xml:space="preserve">Penetration testing conducted periodically</t>
  </si>
  <si>
    <t xml:space="preserve">Confirm pen test schedule; obtain last pen test report; verify scope included Napas HIS and network perimeter; check remediation tracking</t>
  </si>
  <si>
    <t xml:space="preserve">ECC-1:2-3-1</t>
  </si>
  <si>
    <t xml:space="preserve">Third-party cybersecurity requirements defined</t>
  </si>
  <si>
    <t xml:space="preserve">Obtain vendor security policy or standard; verify security clauses in Napas, Bupa, Nphies, and Al Bilad Lab contracts; check NDA status</t>
  </si>
  <si>
    <t xml:space="preserve">ECC-1:2-3-2</t>
  </si>
  <si>
    <t xml:space="preserve">Third-party security assessments conducted</t>
  </si>
  <si>
    <t xml:space="preserve">Review vendor risk assessment records; confirm Napas vendor assessed given live HIS remote access; verify assessment frequency</t>
  </si>
  <si>
    <t xml:space="preserve">ECC-1:2-3-3</t>
  </si>
  <si>
    <t xml:space="preserve">Third-party access controlled and monitored</t>
  </si>
  <si>
    <t xml:space="preserve">Verify Napas vendor remote access mechanism; confirm session logging; check use of VPN/jump server; review access approval process</t>
  </si>
  <si>
    <t xml:space="preserve">ECC-1:2-3-4</t>
  </si>
  <si>
    <t xml:space="preserve">Third-party contracts include cybersecurity obligations</t>
  </si>
  <si>
    <t xml:space="preserve">Review contracts with Napas, Bupa Arabia, Nphies, Al Bilad Lab; confirm data security, breach notification, and audit-right clauses present</t>
  </si>
  <si>
    <t xml:space="preserve">DOMAIN 3 — OPERATIONS</t>
  </si>
  <si>
    <t xml:space="preserve">ECC-1:3-1-1</t>
  </si>
  <si>
    <t xml:space="preserve">3 — Operations</t>
  </si>
  <si>
    <t xml:space="preserve">Network security architecture documented</t>
  </si>
  <si>
    <t xml:space="preserve">Obtain network diagram; verify clinical and administrative segmentation; confirm firewall placement and rules documented</t>
  </si>
  <si>
    <t xml:space="preserve">ECC-1:3-1-2</t>
  </si>
  <si>
    <t xml:space="preserve">Network segmentation implemented</t>
  </si>
  <si>
    <t xml:space="preserve">Inspect network configuration (switch/firewall); confirm Napas HIS and Agfa PACS on isolated VLAN; verify flat network remediated or justified</t>
  </si>
  <si>
    <t xml:space="preserve">ECC-1:3-1-3</t>
  </si>
  <si>
    <t xml:space="preserve">Firewall rules reviewed and maintained</t>
  </si>
  <si>
    <t xml:space="preserve">Obtain firewall ruleset; confirm review frequency; check for default-deny policy; verify clinical system rules are least-privilege</t>
  </si>
  <si>
    <t xml:space="preserve">ECC-1:3-1-4</t>
  </si>
  <si>
    <t xml:space="preserve">Remote access secured and monitored</t>
  </si>
  <si>
    <t xml:space="preserve">Review remote access policy; confirm VPN in use; verify MFA for remote access; check access logs for anomalies</t>
  </si>
  <si>
    <t xml:space="preserve">ECC-1:3-1-5</t>
  </si>
  <si>
    <t xml:space="preserve">Wireless network security controls in place</t>
  </si>
  <si>
    <t xml:space="preserve">Confirm wireless network segmentation from clinical systems; verify WPA2/WPA3 in use; check guest network isolation</t>
  </si>
  <si>
    <t xml:space="preserve">ECC-1:3-2-1</t>
  </si>
  <si>
    <t xml:space="preserve">Access control policy defined</t>
  </si>
  <si>
    <t xml:space="preserve">Obtain access control policy; confirm principle of least privilege stated; verify applicability to Napas HIS, Active Directory, and SAP B1</t>
  </si>
  <si>
    <t xml:space="preserve">ECC-1:3-2-2</t>
  </si>
  <si>
    <t xml:space="preserve">User access provisioning and de-provisioning process defined</t>
  </si>
  <si>
    <t xml:space="preserve">Review joiner/mover/leaver process; confirm HR-IT handoff for onboarding and termination; check Napas HIS and AD account lifecycle</t>
  </si>
  <si>
    <t xml:space="preserve">ECC-1:3-2-3</t>
  </si>
  <si>
    <t xml:space="preserve">Privileged access managed and monitored</t>
  </si>
  <si>
    <t xml:space="preserve">Confirm privileged account inventory; verify admin accounts are separate from standard user accounts; check Active Directory privileged group membership</t>
  </si>
  <si>
    <t xml:space="preserve">ECC-1:3-2-4</t>
  </si>
  <si>
    <t xml:space="preserve">Multi-factor authentication (MFA) implemented for privileged and remote access</t>
  </si>
  <si>
    <t xml:space="preserve">Confirm MFA enforcement for domain admin and remote access; verify Microsoft 365 MFA status; check Napas HIS admin account MFA</t>
  </si>
  <si>
    <t xml:space="preserve">ECC-1:3-2-5</t>
  </si>
  <si>
    <t xml:space="preserve">Access rights reviewed periodically</t>
  </si>
  <si>
    <t xml:space="preserve">Obtain access review records; confirm frequency (at minimum annual); verify Napas HIS, AD, SAP B1 access reviews completed</t>
  </si>
  <si>
    <t xml:space="preserve">ECC-1:3-2-6</t>
  </si>
  <si>
    <t xml:space="preserve">Password policy enforced</t>
  </si>
  <si>
    <t xml:space="preserve">Obtain password policy; verify complexity, length, and expiry requirements; confirm AD policy enforcement; check Napas HIS password controls</t>
  </si>
  <si>
    <t xml:space="preserve">ECC-1:3-3-1</t>
  </si>
  <si>
    <t xml:space="preserve">Security event logging enabled on critical systems</t>
  </si>
  <si>
    <t xml:space="preserve">Confirm logging enabled on Napas HIS, Active Directory, and Microsoft 365; verify log types captured (auth, admin, errors)</t>
  </si>
  <si>
    <t xml:space="preserve">ECC-1:3-3-2</t>
  </si>
  <si>
    <t xml:space="preserve">Log retention policy defined and enforced</t>
  </si>
  <si>
    <t xml:space="preserve">Obtain log retention policy; confirm retention period; verify logs stored for minimum 12 months; check archiving mechanism</t>
  </si>
  <si>
    <t xml:space="preserve">ECC-1:3-3-3</t>
  </si>
  <si>
    <t xml:space="preserve">Security monitoring process in place</t>
  </si>
  <si>
    <t xml:space="preserve">Confirm whether SIEM or equivalent is in use; verify alerting rules defined; check monitoring coverage of critical systems</t>
  </si>
  <si>
    <t xml:space="preserve">ECC-1:3-3-4</t>
  </si>
  <si>
    <t xml:space="preserve">Security alerts reviewed and actioned</t>
  </si>
  <si>
    <t xml:space="preserve">Review alert handling records; confirm escalation path; verify sample of alerts reviewed and closed within defined SLA</t>
  </si>
  <si>
    <t xml:space="preserve">ECC-1:3-4-1</t>
  </si>
  <si>
    <t xml:space="preserve">Malware protection deployed on all endpoints</t>
  </si>
  <si>
    <t xml:space="preserve">Confirm antivirus solution deployed on all 180 Windows endpoints; verify definition update frequency; check coverage gaps</t>
  </si>
  <si>
    <t xml:space="preserve">ECC-1:3-4-2</t>
  </si>
  <si>
    <t xml:space="preserve">Endpoint detection and response (EDR) implemented</t>
  </si>
  <si>
    <t xml:space="preserve">Confirm whether EDR solution is deployed; verify coverage and alert handling; note absence of EDR as gap if not present</t>
  </si>
  <si>
    <t xml:space="preserve">ECC-1:3-4-3</t>
  </si>
  <si>
    <t xml:space="preserve">Removable media controls in place</t>
  </si>
  <si>
    <t xml:space="preserve">Confirm USB/removable media policy; verify technical controls (port blocking or encryption enforcement); check clinical workstation controls</t>
  </si>
  <si>
    <t xml:space="preserve">ECC-1:3-5-1</t>
  </si>
  <si>
    <t xml:space="preserve">Data backup policy defined</t>
  </si>
  <si>
    <t xml:space="preserve">Obtain backup policy; confirm scope includes Napas HIS database, Agfa PACS DICOM files, and SAP B1; verify RTO/RPO defined</t>
  </si>
  <si>
    <t xml:space="preserve">ECC-1:3-5-2</t>
  </si>
  <si>
    <t xml:space="preserve">Backup integrity tested regularly</t>
  </si>
  <si>
    <t xml:space="preserve">Review backup test records; confirm restore test conducted; verify offsite or cloud backup for critical health data; check test frequency</t>
  </si>
  <si>
    <t xml:space="preserve">ECC-1:3-5-3</t>
  </si>
  <si>
    <t xml:space="preserve">Backup media secured</t>
  </si>
  <si>
    <t xml:space="preserve">Confirm tape backup storage location; verify physical security controls; check environmental controls (temperature, humidity)</t>
  </si>
  <si>
    <t xml:space="preserve">ECC-1:3-6-1</t>
  </si>
  <si>
    <t xml:space="preserve">Cryptography policy defined</t>
  </si>
  <si>
    <t xml:space="preserve">Obtain cryptography or data encryption policy; verify coverage of health data at rest (Napas HIS, Agfa PACS) and in transit</t>
  </si>
  <si>
    <t xml:space="preserve">ECC-1:3-6-2</t>
  </si>
  <si>
    <t xml:space="preserve">Encryption applied to sensitive data at rest</t>
  </si>
  <si>
    <t xml:space="preserve">Confirm database encryption on Napas HIS; verify DICOM file encryption on Agfa PACS; check SAP B1 data at rest protection</t>
  </si>
  <si>
    <t xml:space="preserve">ECC-1:3-6-3</t>
  </si>
  <si>
    <t xml:space="preserve">Encryption applied to sensitive data in transit</t>
  </si>
  <si>
    <t xml:space="preserve">Verify TLS 1.2 or higher for all clinical system communications; confirm HTTPS enforcement on any web interfaces; check email encryption for PHI sharing</t>
  </si>
  <si>
    <t xml:space="preserve">ECC-1:3-7-1</t>
  </si>
  <si>
    <t xml:space="preserve">Physical security controls protect critical systems</t>
  </si>
  <si>
    <t xml:space="preserve">Inspect Jeddah data centre physical controls; verify access control (keycard or biometric); confirm CCTV and visitor log in place</t>
  </si>
  <si>
    <t xml:space="preserve">ECC-1:3-7-2</t>
  </si>
  <si>
    <t xml:space="preserve">Environmental controls in place for data centre</t>
  </si>
  <si>
    <t xml:space="preserve">Confirm UPS, fire suppression, and climate controls in Jeddah DC; verify maintenance records available</t>
  </si>
  <si>
    <t xml:space="preserve">ECC-1:3-7-3</t>
  </si>
  <si>
    <t xml:space="preserve">Physical access reviewed and controlled</t>
  </si>
  <si>
    <t xml:space="preserve">Review data centre access list; verify only authorised IT staff have access; confirm review frequency; check visitor access log</t>
  </si>
  <si>
    <t xml:space="preserve">ECC-1:3-8-1</t>
  </si>
  <si>
    <t xml:space="preserve">Secure software development lifecycle (SSDLC) defined</t>
  </si>
  <si>
    <t xml:space="preserve">Confirm whether any in-house development occurs; if yes, obtain SSDLC policy; verify security testing in development pipeline</t>
  </si>
  <si>
    <t xml:space="preserve">ECC-1:3-8-2</t>
  </si>
  <si>
    <t xml:space="preserve">Security testing conducted before software deployment</t>
  </si>
  <si>
    <t xml:space="preserve">Review change management records; confirm security review gate before deployment to Napas HIS or SAP B1; verify approval process</t>
  </si>
  <si>
    <t xml:space="preserve">ECC-1:3-8-3</t>
  </si>
  <si>
    <t xml:space="preserve">Change management process defined and followed</t>
  </si>
  <si>
    <t xml:space="preserve">Obtain change management policy; verify change approval records; confirm emergency change process; check rollback procedure</t>
  </si>
  <si>
    <t xml:space="preserve">ECC-1:3-9-1</t>
  </si>
  <si>
    <t xml:space="preserve">Email security controls implemented</t>
  </si>
  <si>
    <t xml:space="preserve">Confirm SPF, DKIM, DMARC configured for email domain; verify anti-phishing controls in Microsoft 365; check email encryption policy</t>
  </si>
  <si>
    <t xml:space="preserve">ECC-1:3-9-2</t>
  </si>
  <si>
    <t xml:space="preserve">Web filtering implemented</t>
  </si>
  <si>
    <t xml:space="preserve">Confirm web proxy or DNS filtering in use; verify category-based blocking policy; check clinical workstation web access restrictions</t>
  </si>
  <si>
    <t xml:space="preserve">ECC-1:3-9-3</t>
  </si>
  <si>
    <t xml:space="preserve">Anti-spam controls active</t>
  </si>
  <si>
    <t xml:space="preserve">Verify Microsoft 365 anti-spam policies configured; confirm quarantine management; check spam reporting mechanism for staff</t>
  </si>
  <si>
    <t xml:space="preserve">ECC-1:3-10-1</t>
  </si>
  <si>
    <t xml:space="preserve">Data loss prevention (DLP) controls implemented</t>
  </si>
  <si>
    <t xml:space="preserve">Confirm DLP solution or policy in use; verify scope covers patient health data exfiltration vectors (email, USB, cloud upload)</t>
  </si>
  <si>
    <t xml:space="preserve">ECC-1:3-10-2</t>
  </si>
  <si>
    <t xml:space="preserve">Data classification applied to health information</t>
  </si>
  <si>
    <t xml:space="preserve">Obtain data classification policy; verify health data classified as sensitive; confirm classification applied in Napas HIS and Microsoft 365</t>
  </si>
  <si>
    <t xml:space="preserve">ECC-1:3-10-3</t>
  </si>
  <si>
    <t xml:space="preserve">Data handling procedures defined for sensitive data</t>
  </si>
  <si>
    <t xml:space="preserve">Review data handling procedures; confirm coverage of health data lifecycle (collection, use, storage, disposal); verify staff awareness</t>
  </si>
  <si>
    <t xml:space="preserve">ECC-1:3-11-1</t>
  </si>
  <si>
    <t xml:space="preserve">Identity and access management system in place</t>
  </si>
  <si>
    <t xml:space="preserve">Confirm IAM solution (Active Directory); verify centralised account management; check orphaned account cleanup process</t>
  </si>
  <si>
    <t xml:space="preserve">ECC-1:3-11-2</t>
  </si>
  <si>
    <t xml:space="preserve">Identity lifecycle managed for all users</t>
  </si>
  <si>
    <t xml:space="preserve">Review joiner/mover/leaver records; confirm deprovisioning executed on termination; check for stale accounts in AD</t>
  </si>
  <si>
    <t xml:space="preserve">ECC-1:3-11-3</t>
  </si>
  <si>
    <t xml:space="preserve">Single sign-on (SSO) implemented where applicable</t>
  </si>
  <si>
    <t xml:space="preserve">Confirm whether SSO is used across clinical systems; verify integration between AD and Napas HIS; check Microsoft 365 SSO</t>
  </si>
  <si>
    <t xml:space="preserve">ECC-1:3-12-1</t>
  </si>
  <si>
    <t xml:space="preserve">Cybersecurity incident classification scheme defined</t>
  </si>
  <si>
    <t xml:space="preserve">Obtain incident classification matrix; verify severity tiers defined; confirm health data breach classified as critical incident</t>
  </si>
  <si>
    <t xml:space="preserve">ECC-1:3-12-2</t>
  </si>
  <si>
    <t xml:space="preserve">Incident containment and eradication procedures documented</t>
  </si>
  <si>
    <t xml:space="preserve">Review incident playbooks; confirm containment steps for malware, unauthorised access, and data breach scenarios</t>
  </si>
  <si>
    <t xml:space="preserve">ECC-1:3-12-3</t>
  </si>
  <si>
    <t xml:space="preserve">Post-incident review conducted</t>
  </si>
  <si>
    <t xml:space="preserve">Review post-incident review records; confirm lessons learned documented; verify findings fed back into risk register and controls</t>
  </si>
  <si>
    <t xml:space="preserve">ECC-1:3-13-1</t>
  </si>
  <si>
    <t xml:space="preserve">Security awareness content updated annually</t>
  </si>
  <si>
    <t xml:space="preserve">Confirm awareness programme review cycle; verify content updated to reflect current threats (phishing, PDPL obligations, credential handling)</t>
  </si>
  <si>
    <t xml:space="preserve">ECC-1:3-13-2</t>
  </si>
  <si>
    <t xml:space="preserve">Phishing simulation exercises conducted</t>
  </si>
  <si>
    <t xml:space="preserve">Confirm phishing simulation programme; review last simulation results; verify follow-up training for staff who failed simulation</t>
  </si>
  <si>
    <t xml:space="preserve">DOMAIN 4 — THIRD-PARTY</t>
  </si>
  <si>
    <t xml:space="preserve">ECC-1:4-1-1</t>
  </si>
  <si>
    <t xml:space="preserve">4 — Third-Party</t>
  </si>
  <si>
    <t xml:space="preserve">Third-party cybersecurity policy defined</t>
  </si>
  <si>
    <t xml:space="preserve">Obtain third-party security policy; verify scope includes vendors with data access (Napas, Bupa, Nphies, Al Bilad Lab)</t>
  </si>
  <si>
    <t xml:space="preserve">ECC-1:4-1-2</t>
  </si>
  <si>
    <t xml:space="preserve">Third-party inventory maintained</t>
  </si>
  <si>
    <t xml:space="preserve">Obtain third-party register; verify Napas, Bupa Arabia, Nphies, DHL Medical, and Al Bilad Lab listed; confirm last review date</t>
  </si>
  <si>
    <t xml:space="preserve">ECC-1:4-1-3</t>
  </si>
  <si>
    <t xml:space="preserve">Third-party risk classification applied</t>
  </si>
  <si>
    <t xml:space="preserve">Confirm risk tiering for vendors; verify Napas vendor classified as high-risk due to remote HIS access; check Bupa/Nphies classification</t>
  </si>
  <si>
    <t xml:space="preserve">ECC-1:4-1-4</t>
  </si>
  <si>
    <t xml:space="preserve">Third-party due diligence conducted before engagement</t>
  </si>
  <si>
    <t xml:space="preserve">Review vendor onboarding records; confirm security questionnaire or assessment completed for Napas prior to granting HIS access</t>
  </si>
  <si>
    <t xml:space="preserve">ECC-1:4-2-1</t>
  </si>
  <si>
    <t xml:space="preserve">Contracts with third parties include cybersecurity requirements</t>
  </si>
  <si>
    <t xml:space="preserve">Review Napas HIS support contract; confirm data protection, incident notification, and right-to-audit clauses present; repeat for Bupa/Nphies</t>
  </si>
  <si>
    <t xml:space="preserve">ECC-1:4-2-2</t>
  </si>
  <si>
    <t xml:space="preserve">Third-party access limited to what is necessary</t>
  </si>
  <si>
    <t xml:space="preserve">Confirm Napas vendor access scope limited to HIS support functions; verify no access to Agfa PACS or SAP B1; check access permissions</t>
  </si>
  <si>
    <t xml:space="preserve">ECC-1:4-2-3</t>
  </si>
  <si>
    <t xml:space="preserve">Third-party access monitored and logged</t>
  </si>
  <si>
    <t xml:space="preserve">Verify session logging for Napas remote access; confirm logs reviewed; check whether VPN or jump server used for access isolation</t>
  </si>
  <si>
    <t xml:space="preserve">ECC-1:4-2-4</t>
  </si>
  <si>
    <t xml:space="preserve">Third-party performance and security compliance reviewed periodically</t>
  </si>
  <si>
    <t xml:space="preserve">Review vendor performance records; confirm annual security review scheduled for high-risk vendors; check Napas review status</t>
  </si>
  <si>
    <t xml:space="preserve">ECC-1:4-3-1</t>
  </si>
  <si>
    <t xml:space="preserve">Cloud security policy defined</t>
  </si>
  <si>
    <t xml:space="preserve">Confirm cloud security policy covers Microsoft 365; verify data residency requirements documented; check KSA data localisation compliance</t>
  </si>
  <si>
    <t xml:space="preserve">ECC-1:4-3-2</t>
  </si>
  <si>
    <t xml:space="preserve">Cloud service provider security assessed</t>
  </si>
  <si>
    <t xml:space="preserve">Confirm Microsoft 365 security assessment conducted; verify compliance certifications (ISO 27001) reviewed; check data processing agreement with Microsoft</t>
  </si>
  <si>
    <t xml:space="preserve">ECC-1:4-3-3</t>
  </si>
  <si>
    <t xml:space="preserve">Data stored in cloud classified and protected</t>
  </si>
  <si>
    <t xml:space="preserve">Confirm Microsoft 365 data classification applied; verify SharePoint and Teams data sensitivity labels in use; check health data storage restrictions</t>
  </si>
  <si>
    <t xml:space="preserve">ECC-1:4-3-4</t>
  </si>
  <si>
    <t xml:space="preserve">Cloud access controlled and monitored</t>
  </si>
  <si>
    <t xml:space="preserve">Verify Microsoft 365 admin access controls; confirm MFA enforced for admin accounts; check conditional access policies; review admin audit logs</t>
  </si>
  <si>
    <t xml:space="preserve">ECC-1:4-3-5</t>
  </si>
  <si>
    <t xml:space="preserve">Cloud incident response integrated with overall IR process</t>
  </si>
  <si>
    <t xml:space="preserve">Confirm Microsoft 365 incident scenarios included in IR plan; verify contact with Microsoft support defined; check data breach notification process for M365</t>
  </si>
  <si>
    <t xml:space="preserve">ECC-1:4-4-1</t>
  </si>
  <si>
    <t xml:space="preserve">Data shared with third parties governed by agreements</t>
  </si>
  <si>
    <t xml:space="preserve">Confirm data sharing agreements with Bupa Arabia (eligibility data) and Nphies (clinical records); verify PDPL-compliant data transfer mechanisms</t>
  </si>
  <si>
    <t xml:space="preserve">ECC-1:4-4-2</t>
  </si>
  <si>
    <t xml:space="preserve">Cross-border data transfers restricted and controlled</t>
  </si>
  <si>
    <t xml:space="preserve">Confirm whether any health data transferred outside KSA; verify MoH data residency compliance; check Nphies data storage location</t>
  </si>
  <si>
    <t xml:space="preserve">ECC-1:4-4-3</t>
  </si>
  <si>
    <t xml:space="preserve">Third-party data processing activities documented</t>
  </si>
  <si>
    <t xml:space="preserve">Confirm records of data processing activities with third parties; verify Bupa and Nphies data flows documented; check retention obligations agreed</t>
  </si>
  <si>
    <t xml:space="preserve">DOMAIN 5 — ICS</t>
  </si>
  <si>
    <t xml:space="preserve">ECC-1:5-1-1</t>
  </si>
  <si>
    <t xml:space="preserve">5 — ICS</t>
  </si>
  <si>
    <t xml:space="preserve">ICS/OT assets identified and inventoried</t>
  </si>
  <si>
    <t xml:space="preserve">Confirm applicability of ICS/OT controls to Rawabi; assess whether any medical device networks or building management systems are in scope</t>
  </si>
  <si>
    <t xml:space="preserve">ECC-1:5-1-2</t>
  </si>
  <si>
    <t xml:space="preserve">ICS/OT security requirements defined</t>
  </si>
  <si>
    <t xml:space="preserve">If ICS applicable: obtain ICS security policy; verify specific controls for connected medical devices or building automation</t>
  </si>
  <si>
    <t xml:space="preserve">ECC-1:5-1-3</t>
  </si>
  <si>
    <t xml:space="preserve">ICS/OT network segmented from IT network</t>
  </si>
  <si>
    <t xml:space="preserve">If applicable: confirm network separation between any OT/medical device network and clinical IT network</t>
  </si>
  <si>
    <t xml:space="preserve">ECC-1:5-1-4</t>
  </si>
  <si>
    <t xml:space="preserve">ICS/OT access controlled</t>
  </si>
  <si>
    <t xml:space="preserve">If applicable: verify access controls for any ICS/OT environment; confirm remote access restrictions</t>
  </si>
  <si>
    <t xml:space="preserve">ECC-1:5-1-5</t>
  </si>
  <si>
    <t xml:space="preserve">ICS/OT incidents handled separately from IT incidents</t>
  </si>
  <si>
    <t xml:space="preserve">If applicable: confirm separate IR playbook or addendum for ICS/OT environments</t>
  </si>
  <si>
    <t xml:space="preserve">ECC-1:5-2-1</t>
  </si>
  <si>
    <t xml:space="preserve">ICS/OT vulnerability management defined</t>
  </si>
  <si>
    <t xml:space="preserve">If applicable: confirm patch and vulnerability process tailored for ICS/OT constraints (availability priority, vendor-managed patches)</t>
  </si>
  <si>
    <t xml:space="preserve">ECC-1:5-2-2</t>
  </si>
  <si>
    <t xml:space="preserve">ICS/OT monitoring in place</t>
  </si>
  <si>
    <t xml:space="preserve">If applicable: confirm monitoring of ICS/OT network traffic; verify anomaly detection capability</t>
  </si>
  <si>
    <t xml:space="preserve">ECC-1:5-2-3</t>
  </si>
  <si>
    <t xml:space="preserve">ICS/OT security awareness for relevant staff</t>
  </si>
  <si>
    <t xml:space="preserve">If applicable: confirm specialised training for staff interacting with medical device networks or building automation systems</t>
  </si>
  <si>
    <t xml:space="preserve">CONFORMANCE SUMMARY</t>
  </si>
  <si>
    <t xml:space="preserve">PDPL Compliance Review  |  Rawabi Health Services Co.  |  RCA-P4-002</t>
  </si>
  <si>
    <t xml:space="preserve">Saudi Personal Data Protection Law (PDPL)  ·  Sensitive Health Data — Article 23  ·  CONFIDENTIAL</t>
  </si>
  <si>
    <t xml:space="preserve">Obligation ID</t>
  </si>
  <si>
    <t xml:space="preserve">PDPL Obligation</t>
  </si>
  <si>
    <t xml:space="preserve">Status
(Met/Gap/Partial)</t>
  </si>
  <si>
    <t xml:space="preserve">Risk Rating</t>
  </si>
  <si>
    <t xml:space="preserve">PDPL-01</t>
  </si>
  <si>
    <t xml:space="preserve">Art. 5 &amp; 6 — Lawful Basis</t>
  </si>
  <si>
    <t xml:space="preserve">Organisation must establish and document a lawful basis for every category of personal data processing. For sensitive health data under Article 23, explicit informed consent of the data subject is required.</t>
  </si>
  <si>
    <t xml:space="preserve">Review documented lawful basis for patient health data processing in Napas HIS and Agfa PACS; obtain patient consent forms used at registration; verify consent language is explicit, informed, and specific; confirm consent records retained</t>
  </si>
  <si>
    <t xml:space="preserve">PDPL-02</t>
  </si>
  <si>
    <t xml:space="preserve">Art. 23 — Sensitive Data</t>
  </si>
  <si>
    <t xml:space="preserve">Health data (clinical records, diagnoses, imaging, lab results) is classified as sensitive personal data requiring heightened protection and explicit consent for processing.</t>
  </si>
  <si>
    <t xml:space="preserve">Confirm Rawabi has identified all categories of health data processed; verify data map covers Napas HIS, Meditech LIS, and Agfa PACS; confirm processing purposes documented for each category</t>
  </si>
  <si>
    <t xml:space="preserve">PDPL-03</t>
  </si>
  <si>
    <t xml:space="preserve">Art. 11 — Privacy Notice</t>
  </si>
  <si>
    <t xml:space="preserve">Organisations must provide data subjects (patients) with a clear, accessible, and complete privacy notice disclosing: identity of controller, purposes of processing, categories of data collected, data sharing with third parties, retention periods, and data subject rights.</t>
  </si>
  <si>
    <t xml:space="preserve">Obtain patient-facing privacy notice from registration forms and organisational website; verify disclosure of Bupa Arabia and Nphies data sharing; confirm retention period stated; check data subject rights section complete</t>
  </si>
  <si>
    <t xml:space="preserve">PDPL-04</t>
  </si>
  <si>
    <t xml:space="preserve">Art. 4 &amp; 9 — Data Subject Rights</t>
  </si>
  <si>
    <t xml:space="preserve">Organisations must implement mechanisms enabling data subjects to exercise rights of access, correction, deletion, restriction, and data portability. Requests must be responded to within defined timeframes.</t>
  </si>
  <si>
    <t xml:space="preserve">Confirm existence of data subject rights request process; interview IT Manager and reception staff on request handling; verify documented procedure; check records of any rights requests received and actioned</t>
  </si>
  <si>
    <t xml:space="preserve">PDPL-05</t>
  </si>
  <si>
    <t xml:space="preserve">Art. 20 — Breach Notification</t>
  </si>
  <si>
    <t xml:space="preserve">In the event of a personal data breach, organisations must notify SDAIA within 72 hours of becoming aware of the breach. Affected individuals must also be notified where the breach poses a high risk to their rights.</t>
  </si>
  <si>
    <t xml:space="preserve">Obtain incident response or breach notification procedure; verify 72-hour SDAIA notification obligation documented; confirm SDAIA notification contact and process known to IT Manager; check whether any breaches have occurred and were reported</t>
  </si>
  <si>
    <t xml:space="preserve">PDPL-06</t>
  </si>
  <si>
    <t xml:space="preserve">Art. 29 — Cross-Border Transfer</t>
  </si>
  <si>
    <t xml:space="preserve">Transfer of personal data outside the Kingdom of Saudi Arabia requires prior authorisation from SDAIA or must meet prescribed conditions including adequacy or appropriate safeguards.</t>
  </si>
  <si>
    <t xml:space="preserve">Confirm all patient data remains within KSA; verify Microsoft 365 data residency settings (KSA or UAE North region); confirm Nphies data storage is KSA-based; check no international transfer of health data to reinsurers or international labs</t>
  </si>
  <si>
    <t xml:space="preserve">PDPL-07</t>
  </si>
  <si>
    <t xml:space="preserve">Processor Obligations — Data Sharing</t>
  </si>
  <si>
    <t xml:space="preserve">Where personal data is shared with or processed by a third party on behalf of Rawabi, a data processing agreement or data sharing agreement must be in place governing the purpose, scope, security, and retention of the data.</t>
  </si>
  <si>
    <t xml:space="preserve">Obtain contracts with Bupa Arabia (patient eligibility), Nphies (claims), Napas vendor (remote HIS access), and Al Bilad Lab (lab referrals); verify data protection clauses present; confirm breach notification obligations on third party defined</t>
  </si>
  <si>
    <t xml:space="preserve">PDPL-08</t>
  </si>
  <si>
    <t xml:space="preserve">Art. 18 — Retention &amp; Disposal</t>
  </si>
  <si>
    <t xml:space="preserve">Personal data must not be retained beyond the period necessary for the stated purpose. Organisations must define retention periods and implement secure disposal procedures for data that has reached end of retention.</t>
  </si>
  <si>
    <t xml:space="preserve">Obtain data retention schedule or policy; verify retention periods defined for patient records, imaging files, and lab results; confirm alignment with MoH record-keeping requirements; check secure disposal procedure for physical and digital records</t>
  </si>
  <si>
    <t xml:space="preserve">PDPL-09</t>
  </si>
  <si>
    <t xml:space="preserve">Art. 16 — Data Accuracy</t>
  </si>
  <si>
    <t xml:space="preserve">Organisations are responsible for ensuring the accuracy and completeness of personal data held and must have mechanisms to correct inaccurate data.</t>
  </si>
  <si>
    <t xml:space="preserve">Review Napas HIS data correction workflow; confirm clinical staff process for flagging and correcting patient record errors; verify audit trail of corrections maintained</t>
  </si>
  <si>
    <t xml:space="preserve">PDPL-10</t>
  </si>
  <si>
    <t xml:space="preserve">Art. 6 — Purpose Limitation</t>
  </si>
  <si>
    <t xml:space="preserve">Personal data must be collected for specified, explicit, and legitimate purposes and not further processed in a manner incompatible with those purposes.</t>
  </si>
  <si>
    <t xml:space="preserve">Confirm patient data collected at registration is used only for stated clinical and administrative purposes; verify no secondary use of health data (analytics, marketing) without additional consent; check Nphies submission is within purpose scope</t>
  </si>
  <si>
    <t xml:space="preserve">PDPL COMPLIANCE SUMMARY</t>
  </si>
  <si>
    <t xml:space="preserve">Evidence Log  |  Rawabi Health Services Co.  |  NCA ECC-1:2018 + PDPL Audit  |  RCA-P4-002</t>
  </si>
  <si>
    <t xml:space="preserve">Record all evidence items obtained during fieldwork. Reference back to ECC control ID or PDPL obligation ID.</t>
  </si>
  <si>
    <t xml:space="preserve">Ref No.</t>
  </si>
  <si>
    <t xml:space="preserve">Framework Ref
(e.g. ECC-1:2-3-1)</t>
  </si>
  <si>
    <t xml:space="preserve">Evidence Item / Document Name</t>
  </si>
  <si>
    <t xml:space="preserve">Obtained From</t>
  </si>
  <si>
    <t xml:space="preserve">Date Obtained</t>
  </si>
  <si>
    <t xml:space="preserve">Format
(PDF/Screenshot/Log)</t>
  </si>
  <si>
    <t xml:space="preserve">Adequacy
(Sufficient/Insufficient/Partial)</t>
  </si>
  <si>
    <t xml:space="preserve">Auditor Notes</t>
  </si>
  <si>
    <t xml:space="preserve">EV-001</t>
  </si>
  <si>
    <t xml:space="preserve">ECC-1:1-1-1 / 1-1-2</t>
  </si>
  <si>
    <t xml:space="preserve">Cybersecurity strategy or governance framework document</t>
  </si>
  <si>
    <t xml:space="preserve">IT Manager</t>
  </si>
  <si>
    <t xml:space="preserve">PDF/Word</t>
  </si>
  <si>
    <t xml:space="preserve">Critical — expected to be absent per preliminary assessment</t>
  </si>
  <si>
    <t xml:space="preserve">EV-002</t>
  </si>
  <si>
    <t xml:space="preserve">ECC-1:1-2-1 / 1-2-2</t>
  </si>
  <si>
    <t xml:space="preserve">Cybersecurity risk assessment methodology and current risk register</t>
  </si>
  <si>
    <t xml:space="preserve">PDF/Excel</t>
  </si>
  <si>
    <t xml:space="preserve">Critical — expected to be absent</t>
  </si>
  <si>
    <t xml:space="preserve">EV-003</t>
  </si>
  <si>
    <t xml:space="preserve">ECC-1:1-4-1 / 1-4-2</t>
  </si>
  <si>
    <t xml:space="preserve">Incident response policy and procedure</t>
  </si>
  <si>
    <t xml:space="preserve">EV-004</t>
  </si>
  <si>
    <t xml:space="preserve">ECC-1:1-5-1 / 1-5-2</t>
  </si>
  <si>
    <t xml:space="preserve">Business continuity plan and disaster recovery plan</t>
  </si>
  <si>
    <t xml:space="preserve">EV-005</t>
  </si>
  <si>
    <t xml:space="preserve">Security awareness training materials and attendance records</t>
  </si>
  <si>
    <t xml:space="preserve">IT Manager / HR</t>
  </si>
  <si>
    <t xml:space="preserve">EV-006</t>
  </si>
  <si>
    <t xml:space="preserve">ECC-1:2-3-1 / 2-3-2 / 2-3-3</t>
  </si>
  <si>
    <t xml:space="preserve">Napas vendor support contract; remote access logs; session records</t>
  </si>
  <si>
    <t xml:space="preserve">IT Manager / Napas</t>
  </si>
  <si>
    <t xml:space="preserve">PDF/Log</t>
  </si>
  <si>
    <t xml:space="preserve">Critical — uncontrolled remote access LIVE RISK</t>
  </si>
  <si>
    <t xml:space="preserve">EV-007</t>
  </si>
  <si>
    <t xml:space="preserve">ECC-1:3-1-2 / 3-1-3</t>
  </si>
  <si>
    <t xml:space="preserve">Network diagram showing VLAN/segmentation; firewall ruleset</t>
  </si>
  <si>
    <t xml:space="preserve">Diagram/Config</t>
  </si>
  <si>
    <t xml:space="preserve">Critical — flat network expected</t>
  </si>
  <si>
    <t xml:space="preserve">EV-008</t>
  </si>
  <si>
    <t xml:space="preserve">MFA configuration for Active Directory and Microsoft 365</t>
  </si>
  <si>
    <t xml:space="preserve">Screenshot</t>
  </si>
  <si>
    <t xml:space="preserve">High — no MFA enforced expected</t>
  </si>
  <si>
    <t xml:space="preserve">EV-009</t>
  </si>
  <si>
    <t xml:space="preserve">ECC-1:3-4-1 / 3-4-2</t>
  </si>
  <si>
    <t xml:space="preserve">Antivirus deployment report; EDR configuration (if any)</t>
  </si>
  <si>
    <t xml:space="preserve">Screenshot/Report</t>
  </si>
  <si>
    <t xml:space="preserve">EV-010</t>
  </si>
  <si>
    <t xml:space="preserve">ECC-1:3-5-1 / 3-5-2</t>
  </si>
  <si>
    <t xml:space="preserve">Backup policy; backup job logs; restore test records</t>
  </si>
  <si>
    <t xml:space="preserve">High — no offsite backup; no test records expected</t>
  </si>
  <si>
    <t xml:space="preserve">EV-011</t>
  </si>
  <si>
    <t xml:space="preserve">Log retention policy; log storage configuration for Napas HIS and AD</t>
  </si>
  <si>
    <t xml:space="preserve">PDF/Config</t>
  </si>
  <si>
    <t xml:space="preserve">EV-012</t>
  </si>
  <si>
    <t xml:space="preserve">ECC-1:4-2-1 / 4-4-1</t>
  </si>
  <si>
    <t xml:space="preserve">Contracts with Bupa Arabia and Nphies — data protection clauses</t>
  </si>
  <si>
    <t xml:space="preserve">IT Manager / Legal</t>
  </si>
  <si>
    <t xml:space="preserve">PDF</t>
  </si>
  <si>
    <t xml:space="preserve">Critical — no DPAs expected</t>
  </si>
  <si>
    <t xml:space="preserve">EV-013</t>
  </si>
  <si>
    <t xml:space="preserve">Patient consent forms used at registration (Jeddah and Medina)</t>
  </si>
  <si>
    <t xml:space="preserve">Operations Manager</t>
  </si>
  <si>
    <t xml:space="preserve">PDF/Scan</t>
  </si>
  <si>
    <t xml:space="preserve">Critical — non-compliant consent expected</t>
  </si>
  <si>
    <t xml:space="preserve">EV-014</t>
  </si>
  <si>
    <t xml:space="preserve">Patient-facing privacy notice — website and registration documentation</t>
  </si>
  <si>
    <t xml:space="preserve">PDF/Screenshot</t>
  </si>
  <si>
    <t xml:space="preserve">High — non-compliant notice expected</t>
  </si>
  <si>
    <t xml:space="preserve">EV-015</t>
  </si>
  <si>
    <t xml:space="preserve">Data subject rights request procedure; any request records</t>
  </si>
  <si>
    <t xml:space="preserve">IT Manager / Reception</t>
  </si>
  <si>
    <t xml:space="preserve">High — no procedure expected</t>
  </si>
  <si>
    <t xml:space="preserve">EV-016</t>
  </si>
  <si>
    <t xml:space="preserve">Breach notification procedure; SDAIA contact information</t>
  </si>
  <si>
    <t xml:space="preserve">Critical — no procedure expected</t>
  </si>
  <si>
    <t xml:space="preserve">EV-017</t>
  </si>
  <si>
    <t xml:space="preserve">Data processing agreements with Napas, Bupa Arabia, Nphies, Al Bilad Lab</t>
  </si>
  <si>
    <t xml:space="preserve">EV-018</t>
  </si>
  <si>
    <t xml:space="preserve">PDPL-06 / ECC-1:4-3-1</t>
  </si>
  <si>
    <t xml:space="preserve">Microsoft 365 data residency settings; Nphies data storage location confirmation</t>
  </si>
  <si>
    <t xml:space="preserve">EV-019</t>
  </si>
  <si>
    <t xml:space="preserve">ECC-1:3-7-1 / 3-7-2</t>
  </si>
  <si>
    <t xml:space="preserve">Jeddah data centre physical access log; CCTV; environmental controls</t>
  </si>
  <si>
    <t xml:space="preserve">Photo/Log</t>
  </si>
  <si>
    <t xml:space="preserve">Physical walkthrough required</t>
  </si>
  <si>
    <t xml:space="preserve">EV-020</t>
  </si>
  <si>
    <t xml:space="preserve">ECC-1:3-2-2 / 3-2-5</t>
  </si>
  <si>
    <t xml:space="preserve">Active Directory user account list; joiner/leaver records; access review logs</t>
  </si>
  <si>
    <t xml:space="preserve">Export/Screenshot</t>
  </si>
  <si>
    <t xml:space="preserve">Interview Schedule  |  Rawabi Health Services Co.  |  NCA ECC-1:2018 + PDPL Audit  |  RCA-P4-002</t>
  </si>
  <si>
    <t xml:space="preserve">All interviews to be conducted during fieldwork phase: 18 November – 13 December 2024  |  Lead Auditor: kay Shahbaaz</t>
  </si>
  <si>
    <t xml:space="preserve">#</t>
  </si>
  <si>
    <t xml:space="preserve">Interviewee Name</t>
  </si>
  <si>
    <t xml:space="preserve">Role / Title</t>
  </si>
  <si>
    <t xml:space="preserve">Date</t>
  </si>
  <si>
    <t xml:space="preserve">Duration</t>
  </si>
  <si>
    <t xml:space="preserve">Format
(In-person/Remote)</t>
  </si>
  <si>
    <t xml:space="preserve">Topics to Cover</t>
  </si>
  <si>
    <t xml:space="preserve">1</t>
  </si>
  <si>
    <t xml:space="preserve">TBC — IT Manager</t>
  </si>
  <si>
    <t xml:space="preserve">Nov 2024</t>
  </si>
  <si>
    <t xml:space="preserve">90 min</t>
  </si>
  <si>
    <t xml:space="preserve">In-person</t>
  </si>
  <si>
    <t xml:space="preserve">Network architecture; Active Directory configuration; patch and vulnerability management; backup procedures; vendor access controls for Napas; log retention; MFA status; incident response capability; PDPL awareness</t>
  </si>
  <si>
    <t xml:space="preserve">2</t>
  </si>
  <si>
    <t xml:space="preserve">TBC — Operations Manager</t>
  </si>
  <si>
    <t xml:space="preserve">Chief Operations Officer / Operations Manager</t>
  </si>
  <si>
    <t xml:space="preserve">60 min</t>
  </si>
  <si>
    <t xml:space="preserve">Business continuity arrangements; third-party contracts with Bupa Arabia and Nphies; data sharing governance; staff awareness of PDPL obligations; patient complaint and data request handling</t>
  </si>
  <si>
    <t xml:space="preserve">3</t>
  </si>
  <si>
    <t xml:space="preserve">TBC — IT Staff (x2)</t>
  </si>
  <si>
    <t xml:space="preserve">IT Infrastructure Staff</t>
  </si>
  <si>
    <t xml:space="preserve">Nov/Dec 2024</t>
  </si>
  <si>
    <t xml:space="preserve">Day-to-day system administration of Napas HIS and Active Directory; endpoint management; antivirus management; user provisioning and de-provisioning procedures; backup job execution</t>
  </si>
  <si>
    <t xml:space="preserve">4</t>
  </si>
  <si>
    <t xml:space="preserve">TBC — Clinic Administrator</t>
  </si>
  <si>
    <t xml:space="preserve">Clinic Administrator — Jeddah</t>
  </si>
  <si>
    <t xml:space="preserve">Dec 2024</t>
  </si>
  <si>
    <t xml:space="preserve">45 min</t>
  </si>
  <si>
    <t xml:space="preserve">Patient registration process; consent collection; data subject rights requests; physical visitor log and reception security; records handling for paper-based patient documents</t>
  </si>
  <si>
    <t xml:space="preserve">5</t>
  </si>
  <si>
    <t xml:space="preserve">Clinic Administrator — Medina</t>
  </si>
  <si>
    <t xml:space="preserve">Remote</t>
  </si>
  <si>
    <t xml:space="preserve">Patient registration process at Medina site; local data handling; IT support arrangements for branch; any local systems or workarounds in use</t>
  </si>
  <si>
    <t xml:space="preserve">6</t>
  </si>
  <si>
    <t xml:space="preserve">TBC — Finance Staff</t>
  </si>
  <si>
    <t xml:space="preserve">Finance / SAP Administrator</t>
  </si>
  <si>
    <t xml:space="preserve">30 min</t>
  </si>
  <si>
    <t xml:space="preserve">SAP Business One access controls; financial data handling; vendor payment records relevant to Napas and third-party contracts</t>
  </si>
</sst>
</file>

<file path=xl/styles.xml><?xml version="1.0" encoding="utf-8"?>
<styleSheet xmlns="http://schemas.openxmlformats.org/spreadsheetml/2006/main">
  <numFmts count="4">
    <numFmt numFmtId="164" formatCode="General"/>
    <numFmt numFmtId="165" formatCode="#,##0"/>
    <numFmt numFmtId="166" formatCode="0.0%"/>
    <numFmt numFmtId="167"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C8A951"/>
      <name val="Arial"/>
      <family val="0"/>
      <charset val="1"/>
    </font>
    <font>
      <b val="true"/>
      <sz val="9"/>
      <color rgb="FF1B2A4A"/>
      <name val="Arial"/>
      <family val="0"/>
      <charset val="1"/>
    </font>
    <font>
      <sz val="9"/>
      <color rgb="FF1A1A1A"/>
      <name val="Arial"/>
      <family val="0"/>
      <charset val="1"/>
    </font>
    <font>
      <b val="true"/>
      <sz val="10"/>
      <color rgb="FFFFFFFF"/>
      <name val="Arial"/>
      <family val="0"/>
      <charset val="1"/>
    </font>
    <font>
      <b val="true"/>
      <sz val="9"/>
      <color rgb="FFFFFFFF"/>
      <name val="Arial"/>
      <family val="0"/>
      <charset val="1"/>
    </font>
    <font>
      <b val="true"/>
      <sz val="9"/>
      <color rgb="FF1A1A1A"/>
      <name val="Arial"/>
      <family val="0"/>
      <charset val="1"/>
    </font>
    <font>
      <b val="true"/>
      <sz val="12"/>
      <color rgb="FFFFFFFF"/>
      <name val="Arial"/>
      <family val="0"/>
      <charset val="1"/>
    </font>
  </fonts>
  <fills count="15">
    <fill>
      <patternFill patternType="none"/>
    </fill>
    <fill>
      <patternFill patternType="gray125"/>
    </fill>
    <fill>
      <patternFill patternType="solid">
        <fgColor rgb="FF1B2A4A"/>
        <bgColor rgb="FF003366"/>
      </patternFill>
    </fill>
    <fill>
      <patternFill patternType="solid">
        <fgColor rgb="FFEEF1F7"/>
        <bgColor rgb="FFF0F4FA"/>
      </patternFill>
    </fill>
    <fill>
      <patternFill patternType="solid">
        <fgColor rgb="FFFFFFFF"/>
        <bgColor rgb="FFFEF9E7"/>
      </patternFill>
    </fill>
    <fill>
      <patternFill patternType="solid">
        <fgColor rgb="FFD5F5E3"/>
        <bgColor rgb="FFEEF1F7"/>
      </patternFill>
    </fill>
    <fill>
      <patternFill patternType="solid">
        <fgColor rgb="FFFDEBD0"/>
        <bgColor rgb="FFFDF6E3"/>
      </patternFill>
    </fill>
    <fill>
      <patternFill patternType="solid">
        <fgColor rgb="FFFADBD8"/>
        <bgColor rgb="FFFDEBD0"/>
      </patternFill>
    </fill>
    <fill>
      <patternFill patternType="solid">
        <fgColor rgb="FFFEF9E7"/>
        <bgColor rgb="FFFDF6E3"/>
      </patternFill>
    </fill>
    <fill>
      <patternFill patternType="solid">
        <fgColor rgb="FFC8A951"/>
        <bgColor rgb="FFFF9900"/>
      </patternFill>
    </fill>
    <fill>
      <patternFill patternType="solid">
        <fgColor rgb="FFF0F4FA"/>
        <bgColor rgb="FFEEF1F7"/>
      </patternFill>
    </fill>
    <fill>
      <patternFill patternType="solid">
        <fgColor rgb="FFF5F5F5"/>
        <bgColor rgb="FFF0F4FA"/>
      </patternFill>
    </fill>
    <fill>
      <patternFill patternType="solid">
        <fgColor rgb="FFF0FAF4"/>
        <bgColor rgb="FFF5F5F5"/>
      </patternFill>
    </fill>
    <fill>
      <patternFill patternType="solid">
        <fgColor rgb="FFFDF6E3"/>
        <bgColor rgb="FFFEF9E7"/>
      </patternFill>
    </fill>
    <fill>
      <patternFill patternType="solid">
        <fgColor rgb="FFFCF0F0"/>
        <bgColor rgb="FFF5F5F5"/>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7" fillId="3" borderId="2"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7" fillId="4" borderId="2" xfId="0" applyFont="true" applyBorder="true" applyAlignment="true" applyProtection="false">
      <alignment horizontal="left" vertical="top" textRotation="0" wrapText="true" indent="0" shrinkToFit="false"/>
      <protection locked="true" hidden="false"/>
    </xf>
    <xf numFmtId="164" fontId="8" fillId="2" borderId="0" xfId="0" applyFont="true" applyBorder="true" applyAlignment="true" applyProtection="false">
      <alignment horizontal="left" vertical="center" textRotation="0" wrapText="false" indent="1"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5" fontId="7"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left" vertical="top" textRotation="0" wrapText="true" indent="0" shrinkToFit="false"/>
      <protection locked="true" hidden="false"/>
    </xf>
    <xf numFmtId="165" fontId="7"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5" fontId="7" fillId="7"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5" fontId="7"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left" vertical="top" textRotation="0" wrapText="true" indent="0" shrinkToFit="false"/>
      <protection locked="true" hidden="false"/>
    </xf>
    <xf numFmtId="166" fontId="7" fillId="8"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11" fillId="2" borderId="0" xfId="0" applyFont="true" applyBorder="true" applyAlignment="true" applyProtection="false">
      <alignment horizontal="left" vertical="center" textRotation="0" wrapText="false" indent="1" shrinkToFit="false"/>
      <protection locked="true" hidden="false"/>
    </xf>
    <xf numFmtId="164" fontId="9" fillId="9" borderId="2" xfId="0" applyFont="true" applyBorder="true" applyAlignment="true" applyProtection="false">
      <alignment horizontal="left" vertical="center" textRotation="0" wrapText="false" indent="1" shrinkToFit="false"/>
      <protection locked="true" hidden="false"/>
    </xf>
    <xf numFmtId="164" fontId="10" fillId="10" borderId="1" xfId="0" applyFont="true" applyBorder="true" applyAlignment="true" applyProtection="false">
      <alignment horizontal="left" vertical="top" textRotation="0" wrapText="true" indent="0" shrinkToFit="false"/>
      <protection locked="true" hidden="false"/>
    </xf>
    <xf numFmtId="164" fontId="7" fillId="10" borderId="1" xfId="0" applyFont="true" applyBorder="true" applyAlignment="true" applyProtection="false">
      <alignment horizontal="left" vertical="top" textRotation="0" wrapText="true" indent="0" shrinkToFit="false"/>
      <protection locked="true" hidden="false"/>
    </xf>
    <xf numFmtId="164" fontId="10" fillId="10" borderId="1" xfId="0" applyFont="true" applyBorder="true" applyAlignment="true" applyProtection="false">
      <alignment horizontal="center" vertical="center" textRotation="0" wrapText="false" indent="0" shrinkToFit="false"/>
      <protection locked="true" hidden="false"/>
    </xf>
    <xf numFmtId="164" fontId="10" fillId="11" borderId="1" xfId="0" applyFont="true" applyBorder="true" applyAlignment="true" applyProtection="false">
      <alignment horizontal="left" vertical="top" textRotation="0" wrapText="true" indent="0" shrinkToFit="false"/>
      <protection locked="true" hidden="false"/>
    </xf>
    <xf numFmtId="164" fontId="7" fillId="11" borderId="1" xfId="0" applyFont="true" applyBorder="true" applyAlignment="true" applyProtection="false">
      <alignment horizontal="left" vertical="top" textRotation="0" wrapText="true" indent="0" shrinkToFit="false"/>
      <protection locked="true" hidden="false"/>
    </xf>
    <xf numFmtId="164" fontId="10" fillId="11" borderId="1" xfId="0" applyFont="true" applyBorder="true" applyAlignment="true" applyProtection="false">
      <alignment horizontal="center" vertical="center" textRotation="0" wrapText="false" indent="0" shrinkToFit="false"/>
      <protection locked="true" hidden="false"/>
    </xf>
    <xf numFmtId="164" fontId="10" fillId="12" borderId="1" xfId="0" applyFont="true" applyBorder="true" applyAlignment="true" applyProtection="false">
      <alignment horizontal="left" vertical="top" textRotation="0" wrapText="true" indent="0" shrinkToFit="false"/>
      <protection locked="true" hidden="false"/>
    </xf>
    <xf numFmtId="164" fontId="7" fillId="12" borderId="1" xfId="0" applyFont="true" applyBorder="true" applyAlignment="true" applyProtection="false">
      <alignment horizontal="left" vertical="top" textRotation="0" wrapText="true" indent="0" shrinkToFit="false"/>
      <protection locked="true" hidden="false"/>
    </xf>
    <xf numFmtId="164" fontId="10" fillId="12" borderId="1" xfId="0" applyFont="true" applyBorder="true" applyAlignment="true" applyProtection="false">
      <alignment horizontal="center" vertical="center" textRotation="0" wrapText="false" indent="0" shrinkToFit="false"/>
      <protection locked="true" hidden="false"/>
    </xf>
    <xf numFmtId="164" fontId="10" fillId="13" borderId="1" xfId="0" applyFont="true" applyBorder="true" applyAlignment="true" applyProtection="false">
      <alignment horizontal="left" vertical="top" textRotation="0" wrapText="true" indent="0" shrinkToFit="false"/>
      <protection locked="true" hidden="false"/>
    </xf>
    <xf numFmtId="164" fontId="7" fillId="13" borderId="1" xfId="0" applyFont="true" applyBorder="true" applyAlignment="true" applyProtection="false">
      <alignment horizontal="left" vertical="top" textRotation="0" wrapText="true" indent="0" shrinkToFit="false"/>
      <protection locked="true" hidden="false"/>
    </xf>
    <xf numFmtId="164" fontId="10" fillId="13" borderId="1" xfId="0" applyFont="true" applyBorder="true" applyAlignment="true" applyProtection="false">
      <alignment horizontal="center" vertical="center" textRotation="0" wrapText="false" indent="0" shrinkToFit="false"/>
      <protection locked="true" hidden="false"/>
    </xf>
    <xf numFmtId="164" fontId="10" fillId="14" borderId="1" xfId="0" applyFont="true" applyBorder="true" applyAlignment="true" applyProtection="false">
      <alignment horizontal="left" vertical="top" textRotation="0" wrapText="true" indent="0" shrinkToFit="false"/>
      <protection locked="true" hidden="false"/>
    </xf>
    <xf numFmtId="164" fontId="7" fillId="14" borderId="1" xfId="0" applyFont="true" applyBorder="true" applyAlignment="true" applyProtection="false">
      <alignment horizontal="left" vertical="top" textRotation="0" wrapText="true" indent="0" shrinkToFit="false"/>
      <protection locked="true" hidden="false"/>
    </xf>
    <xf numFmtId="164" fontId="10" fillId="14" borderId="1" xfId="0" applyFont="true" applyBorder="true" applyAlignment="true" applyProtection="false">
      <alignment horizontal="center" vertical="center" textRotation="0" wrapText="false" indent="0" shrinkToFit="false"/>
      <protection locked="true" hidden="false"/>
    </xf>
    <xf numFmtId="164" fontId="9" fillId="2" borderId="2" xfId="0" applyFont="true" applyBorder="true" applyAlignment="true" applyProtection="false">
      <alignment horizontal="left" vertical="center" textRotation="0" wrapText="false" indent="1" shrinkToFit="false"/>
      <protection locked="true" hidden="false"/>
    </xf>
    <xf numFmtId="167" fontId="6" fillId="8" borderId="1" xfId="0" applyFont="true" applyBorder="true" applyAlignment="true" applyProtection="false">
      <alignment horizontal="center" vertical="center" textRotation="0" wrapText="false" indent="0" shrinkToFit="false"/>
      <protection locked="true" hidden="false"/>
    </xf>
    <xf numFmtId="166" fontId="6" fillId="8"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D5F5E3"/>
        </patternFill>
      </fill>
    </dxf>
    <dxf>
      <fill>
        <patternFill>
          <bgColor rgb="FFFDEBD0"/>
        </patternFill>
      </fill>
    </dxf>
    <dxf>
      <fill>
        <patternFill>
          <bgColor rgb="FFFADBD8"/>
        </patternFill>
      </fill>
    </dxf>
    <dxf>
      <fill>
        <patternFill>
          <bgColor rgb="FFEEF1F7"/>
        </patternFill>
      </fill>
    </dxf>
  </dxfs>
  <colors>
    <indexedColors>
      <rgbColor rgb="FF000000"/>
      <rgbColor rgb="FFFFFFFF"/>
      <rgbColor rgb="FFFF0000"/>
      <rgbColor rgb="FF00FF00"/>
      <rgbColor rgb="FF0000FF"/>
      <rgbColor rgb="FFFDF6E3"/>
      <rgbColor rgb="FFFF00FF"/>
      <rgbColor rgb="FF00FFFF"/>
      <rgbColor rgb="FF800000"/>
      <rgbColor rgb="FF008000"/>
      <rgbColor rgb="FF000080"/>
      <rgbColor rgb="FF808000"/>
      <rgbColor rgb="FF800080"/>
      <rgbColor rgb="FF2980B9"/>
      <rgbColor rgb="FFCCCCCC"/>
      <rgbColor rgb="FF808080"/>
      <rgbColor rgb="FF9999FF"/>
      <rgbColor rgb="FF993366"/>
      <rgbColor rgb="FFFEF9E7"/>
      <rgbColor rgb="FFF0FAF4"/>
      <rgbColor rgb="FF660066"/>
      <rgbColor rgb="FFFF8080"/>
      <rgbColor rgb="FF0066CC"/>
      <rgbColor rgb="FFEEF1F7"/>
      <rgbColor rgb="FF000080"/>
      <rgbColor rgb="FFFF00FF"/>
      <rgbColor rgb="FFFFFF00"/>
      <rgbColor rgb="FF00FFFF"/>
      <rgbColor rgb="FF800080"/>
      <rgbColor rgb="FF800000"/>
      <rgbColor rgb="FF008080"/>
      <rgbColor rgb="FF0000FF"/>
      <rgbColor rgb="FF00CCFF"/>
      <rgbColor rgb="FFF0F4FA"/>
      <rgbColor rgb="FFD5F5E3"/>
      <rgbColor rgb="FFFDEBD0"/>
      <rgbColor rgb="FFF5F5F5"/>
      <rgbColor rgb="FFFCF0F0"/>
      <rgbColor rgb="FFCC99FF"/>
      <rgbColor rgb="FFFADBD8"/>
      <rgbColor rgb="FF3366FF"/>
      <rgbColor rgb="FF33CCCC"/>
      <rgbColor rgb="FF99CC00"/>
      <rgbColor rgb="FFFFCC00"/>
      <rgbColor rgb="FFFF9900"/>
      <rgbColor rgb="FFFF6600"/>
      <rgbColor rgb="FF666699"/>
      <rgbColor rgb="FFC8A951"/>
      <rgbColor rgb="FF003366"/>
      <rgbColor rgb="FF1E8449"/>
      <rgbColor rgb="FF003300"/>
      <rgbColor rgb="FF1A1A1A"/>
      <rgbColor rgb="FFC0392B"/>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D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42"/>
    <col collapsed="false" customWidth="true" hidden="false" outlineLevel="0" max="4" min="3" style="0" width="18"/>
  </cols>
  <sheetData>
    <row r="1" customFormat="false" ht="49.5" hidden="false" customHeight="true" outlineLevel="0" collapsed="false">
      <c r="A1" s="1" t="s">
        <v>0</v>
      </c>
      <c r="B1" s="1"/>
      <c r="C1" s="1"/>
      <c r="D1" s="1"/>
    </row>
    <row r="2" customFormat="false" ht="15.75" hidden="false" customHeight="true" outlineLevel="0" collapsed="false">
      <c r="A2" s="2" t="s">
        <v>1</v>
      </c>
      <c r="B2" s="2"/>
      <c r="C2" s="2"/>
      <c r="D2" s="2"/>
    </row>
    <row r="4" customFormat="false" ht="18" hidden="false" customHeight="true" outlineLevel="0" collapsed="false">
      <c r="A4" s="3" t="s">
        <v>2</v>
      </c>
      <c r="B4" s="4" t="s">
        <v>3</v>
      </c>
      <c r="C4" s="4"/>
      <c r="D4" s="4"/>
    </row>
    <row r="5" customFormat="false" ht="18" hidden="false" customHeight="true" outlineLevel="0" collapsed="false">
      <c r="A5" s="5" t="s">
        <v>4</v>
      </c>
      <c r="B5" s="6" t="s">
        <v>5</v>
      </c>
      <c r="C5" s="6"/>
      <c r="D5" s="6"/>
    </row>
    <row r="6" customFormat="false" ht="18" hidden="false" customHeight="true" outlineLevel="0" collapsed="false">
      <c r="A6" s="3" t="s">
        <v>6</v>
      </c>
      <c r="B6" s="4" t="s">
        <v>7</v>
      </c>
      <c r="C6" s="4"/>
      <c r="D6" s="4"/>
    </row>
    <row r="7" customFormat="false" ht="18" hidden="false" customHeight="true" outlineLevel="0" collapsed="false">
      <c r="A7" s="5" t="s">
        <v>8</v>
      </c>
      <c r="B7" s="6" t="s">
        <v>9</v>
      </c>
      <c r="C7" s="6"/>
      <c r="D7" s="6"/>
    </row>
    <row r="8" customFormat="false" ht="18" hidden="false" customHeight="true" outlineLevel="0" collapsed="false">
      <c r="A8" s="3" t="s">
        <v>10</v>
      </c>
      <c r="B8" s="4" t="s">
        <v>11</v>
      </c>
      <c r="C8" s="4"/>
      <c r="D8" s="4"/>
    </row>
    <row r="9" customFormat="false" ht="18" hidden="false" customHeight="true" outlineLevel="0" collapsed="false">
      <c r="A9" s="5" t="s">
        <v>12</v>
      </c>
      <c r="B9" s="6" t="s">
        <v>13</v>
      </c>
      <c r="C9" s="6"/>
      <c r="D9" s="6"/>
    </row>
    <row r="10" customFormat="false" ht="18" hidden="false" customHeight="true" outlineLevel="0" collapsed="false">
      <c r="A10" s="3" t="s">
        <v>14</v>
      </c>
      <c r="B10" s="4" t="s">
        <v>15</v>
      </c>
      <c r="C10" s="4"/>
      <c r="D10" s="4"/>
    </row>
    <row r="12" customFormat="false" ht="19.5" hidden="false" customHeight="true" outlineLevel="0" collapsed="false">
      <c r="A12" s="7" t="s">
        <v>16</v>
      </c>
      <c r="B12" s="7"/>
      <c r="C12" s="7"/>
      <c r="D12" s="7"/>
    </row>
    <row r="13" customFormat="false" ht="18" hidden="false" customHeight="true" outlineLevel="0" collapsed="false">
      <c r="A13" s="8" t="s">
        <v>17</v>
      </c>
      <c r="B13" s="8" t="s">
        <v>18</v>
      </c>
      <c r="C13" s="8" t="s">
        <v>19</v>
      </c>
      <c r="D13" s="8"/>
    </row>
    <row r="14" customFormat="false" ht="18" hidden="false" customHeight="true" outlineLevel="0" collapsed="false">
      <c r="A14" s="9" t="s">
        <v>20</v>
      </c>
      <c r="B14" s="10" t="n">
        <f aca="false">ECC_Controls!S116</f>
        <v>0</v>
      </c>
      <c r="C14" s="10" t="n">
        <f aca="false">PDPL_Review!G20</f>
        <v>0</v>
      </c>
      <c r="D14" s="11"/>
    </row>
    <row r="15" customFormat="false" ht="18" hidden="false" customHeight="true" outlineLevel="0" collapsed="false">
      <c r="A15" s="12" t="s">
        <v>21</v>
      </c>
      <c r="B15" s="13" t="n">
        <f aca="false">ECC_Controls!T116</f>
        <v>0</v>
      </c>
      <c r="C15" s="14"/>
      <c r="D15" s="14"/>
    </row>
    <row r="16" customFormat="false" ht="18" hidden="false" customHeight="true" outlineLevel="0" collapsed="false">
      <c r="A16" s="15" t="s">
        <v>22</v>
      </c>
      <c r="B16" s="16" t="n">
        <f aca="false">ECC_Controls!U116</f>
        <v>0</v>
      </c>
      <c r="C16" s="16" t="n">
        <f aca="false">PDPL_Review!H20</f>
        <v>0</v>
      </c>
      <c r="D16" s="17"/>
    </row>
    <row r="17" customFormat="false" ht="18" hidden="false" customHeight="true" outlineLevel="0" collapsed="false">
      <c r="A17" s="18" t="s">
        <v>23</v>
      </c>
      <c r="B17" s="19" t="n">
        <f aca="false">ECC_Controls!V116</f>
        <v>0</v>
      </c>
      <c r="C17" s="19" t="n">
        <f aca="false">PDPL_Review!I20</f>
        <v>0</v>
      </c>
      <c r="D17" s="20"/>
    </row>
    <row r="18" customFormat="false" ht="18" hidden="false" customHeight="true" outlineLevel="0" collapsed="false">
      <c r="A18" s="21" t="s">
        <v>24</v>
      </c>
      <c r="B18" s="22" t="n">
        <f aca="false">ECC_Controls!W116</f>
        <v>0</v>
      </c>
      <c r="C18" s="22" t="n">
        <f aca="false">PDPL_Review!J20</f>
        <v>0</v>
      </c>
      <c r="D18" s="23"/>
    </row>
    <row r="20" customFormat="false" ht="19.5" hidden="false" customHeight="true" outlineLevel="0" collapsed="false">
      <c r="A20" s="7" t="s">
        <v>25</v>
      </c>
      <c r="B20" s="7"/>
      <c r="C20" s="7"/>
      <c r="D20" s="7"/>
    </row>
    <row r="21" customFormat="false" ht="18" hidden="false" customHeight="true" outlineLevel="0" collapsed="false">
      <c r="A21" s="24" t="s">
        <v>26</v>
      </c>
      <c r="B21" s="9" t="s">
        <v>27</v>
      </c>
      <c r="C21" s="25" t="s">
        <v>28</v>
      </c>
      <c r="D21" s="25"/>
    </row>
    <row r="22" customFormat="false" ht="18" hidden="false" customHeight="true" outlineLevel="0" collapsed="false">
      <c r="A22" s="26" t="s">
        <v>29</v>
      </c>
      <c r="B22" s="12" t="s">
        <v>21</v>
      </c>
      <c r="C22" s="27" t="s">
        <v>30</v>
      </c>
      <c r="D22" s="27"/>
    </row>
    <row r="23" customFormat="false" ht="18" hidden="false" customHeight="true" outlineLevel="0" collapsed="false">
      <c r="A23" s="28" t="s">
        <v>31</v>
      </c>
      <c r="B23" s="15" t="s">
        <v>32</v>
      </c>
      <c r="C23" s="29" t="s">
        <v>33</v>
      </c>
      <c r="D23" s="29"/>
    </row>
    <row r="24" customFormat="false" ht="18" hidden="false" customHeight="true" outlineLevel="0" collapsed="false">
      <c r="A24" s="30" t="s">
        <v>34</v>
      </c>
      <c r="B24" s="18" t="s">
        <v>35</v>
      </c>
      <c r="C24" s="31" t="s">
        <v>36</v>
      </c>
      <c r="D24" s="31"/>
    </row>
  </sheetData>
  <mergeCells count="11">
    <mergeCell ref="A1:D1"/>
    <mergeCell ref="A2:D2"/>
    <mergeCell ref="B4:D4"/>
    <mergeCell ref="B5:D5"/>
    <mergeCell ref="B6:D6"/>
    <mergeCell ref="B7:D7"/>
    <mergeCell ref="B8:D8"/>
    <mergeCell ref="B9:D9"/>
    <mergeCell ref="B10:D10"/>
    <mergeCell ref="A12:D12"/>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false"/>
  </sheetPr>
  <dimension ref="A1:L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42"/>
    <col collapsed="false" customWidth="true" hidden="false" outlineLevel="0" max="4" min="4" style="0" width="32"/>
    <col collapsed="false" customWidth="true" hidden="false" outlineLevel="0" max="5" min="5" style="0" width="10"/>
    <col collapsed="false" customWidth="true" hidden="false" outlineLevel="0" max="6" min="6" style="0" width="32"/>
    <col collapsed="false" customWidth="true" hidden="false" outlineLevel="0" max="7" min="7" style="0" width="28"/>
    <col collapsed="false" customWidth="true" hidden="false" outlineLevel="0" max="10" min="8" style="0" width="16"/>
    <col collapsed="false" customWidth="true" hidden="false" outlineLevel="0" max="12" min="11" style="0" width="14"/>
  </cols>
  <sheetData>
    <row r="1" customFormat="false" ht="27.75" hidden="false" customHeight="true" outlineLevel="0" collapsed="false">
      <c r="A1" s="32" t="s">
        <v>37</v>
      </c>
      <c r="B1" s="32"/>
      <c r="C1" s="32"/>
      <c r="D1" s="32"/>
      <c r="E1" s="32"/>
      <c r="F1" s="32"/>
      <c r="G1" s="32"/>
      <c r="H1" s="32"/>
      <c r="I1" s="32"/>
      <c r="J1" s="32"/>
      <c r="K1" s="32"/>
      <c r="L1" s="32"/>
    </row>
    <row r="2" customFormat="false" ht="15.75" hidden="false" customHeight="true" outlineLevel="0" collapsed="false">
      <c r="A2" s="2" t="s">
        <v>38</v>
      </c>
      <c r="B2" s="2"/>
      <c r="C2" s="2"/>
      <c r="D2" s="2"/>
      <c r="E2" s="2"/>
      <c r="F2" s="2"/>
      <c r="G2" s="2"/>
      <c r="H2" s="2"/>
      <c r="I2" s="2"/>
      <c r="J2" s="2"/>
      <c r="K2" s="2"/>
      <c r="L2" s="2"/>
    </row>
    <row r="3" customFormat="false" ht="31.5" hidden="false" customHeight="true" outlineLevel="0" collapsed="false">
      <c r="A3" s="8" t="s">
        <v>39</v>
      </c>
      <c r="B3" s="8" t="s">
        <v>40</v>
      </c>
      <c r="C3" s="8" t="s">
        <v>41</v>
      </c>
      <c r="D3" s="8" t="s">
        <v>42</v>
      </c>
      <c r="E3" s="8" t="s">
        <v>43</v>
      </c>
      <c r="F3" s="8" t="s">
        <v>44</v>
      </c>
      <c r="G3" s="8" t="s">
        <v>45</v>
      </c>
      <c r="H3" s="8" t="s">
        <v>46</v>
      </c>
      <c r="I3" s="8" t="s">
        <v>47</v>
      </c>
      <c r="J3" s="8" t="s">
        <v>48</v>
      </c>
      <c r="K3" s="8" t="s">
        <v>14</v>
      </c>
      <c r="L3" s="8" t="s">
        <v>49</v>
      </c>
    </row>
    <row r="4" customFormat="false" ht="15.75" hidden="false" customHeight="true" outlineLevel="0" collapsed="false">
      <c r="A4" s="33" t="s">
        <v>50</v>
      </c>
      <c r="B4" s="33"/>
      <c r="C4" s="33"/>
      <c r="D4" s="33"/>
      <c r="E4" s="33"/>
      <c r="F4" s="33"/>
      <c r="G4" s="33"/>
      <c r="H4" s="33"/>
      <c r="I4" s="33"/>
      <c r="J4" s="33"/>
      <c r="K4" s="33"/>
      <c r="L4" s="33"/>
    </row>
    <row r="5" customFormat="false" ht="45" hidden="false" customHeight="true" outlineLevel="0" collapsed="false">
      <c r="A5" s="34" t="s">
        <v>51</v>
      </c>
      <c r="B5" s="35" t="s">
        <v>52</v>
      </c>
      <c r="C5" s="35" t="s">
        <v>53</v>
      </c>
      <c r="D5" s="35" t="s">
        <v>54</v>
      </c>
      <c r="E5" s="36"/>
      <c r="F5" s="35"/>
      <c r="G5" s="35"/>
      <c r="H5" s="35"/>
      <c r="I5" s="35"/>
      <c r="J5" s="35"/>
      <c r="K5" s="35"/>
      <c r="L5" s="35"/>
    </row>
    <row r="6" customFormat="false" ht="45" hidden="false" customHeight="true" outlineLevel="0" collapsed="false">
      <c r="A6" s="34" t="s">
        <v>55</v>
      </c>
      <c r="B6" s="35" t="s">
        <v>52</v>
      </c>
      <c r="C6" s="35" t="s">
        <v>56</v>
      </c>
      <c r="D6" s="35" t="s">
        <v>57</v>
      </c>
      <c r="E6" s="36"/>
      <c r="F6" s="35"/>
      <c r="G6" s="35"/>
      <c r="H6" s="35"/>
      <c r="I6" s="35"/>
      <c r="J6" s="35"/>
      <c r="K6" s="35"/>
      <c r="L6" s="35"/>
    </row>
    <row r="7" customFormat="false" ht="45" hidden="false" customHeight="true" outlineLevel="0" collapsed="false">
      <c r="A7" s="34" t="s">
        <v>58</v>
      </c>
      <c r="B7" s="35" t="s">
        <v>52</v>
      </c>
      <c r="C7" s="35" t="s">
        <v>59</v>
      </c>
      <c r="D7" s="35" t="s">
        <v>60</v>
      </c>
      <c r="E7" s="36"/>
      <c r="F7" s="35"/>
      <c r="G7" s="35"/>
      <c r="H7" s="35"/>
      <c r="I7" s="35"/>
      <c r="J7" s="35"/>
      <c r="K7" s="35"/>
      <c r="L7" s="35"/>
    </row>
    <row r="8" customFormat="false" ht="45" hidden="false" customHeight="true" outlineLevel="0" collapsed="false">
      <c r="A8" s="34" t="s">
        <v>61</v>
      </c>
      <c r="B8" s="35" t="s">
        <v>52</v>
      </c>
      <c r="C8" s="35" t="s">
        <v>62</v>
      </c>
      <c r="D8" s="35" t="s">
        <v>63</v>
      </c>
      <c r="E8" s="36"/>
      <c r="F8" s="35"/>
      <c r="G8" s="35"/>
      <c r="H8" s="35"/>
      <c r="I8" s="35"/>
      <c r="J8" s="35"/>
      <c r="K8" s="35"/>
      <c r="L8" s="35"/>
    </row>
    <row r="9" customFormat="false" ht="45" hidden="false" customHeight="true" outlineLevel="0" collapsed="false">
      <c r="A9" s="34" t="s">
        <v>64</v>
      </c>
      <c r="B9" s="35" t="s">
        <v>52</v>
      </c>
      <c r="C9" s="35" t="s">
        <v>65</v>
      </c>
      <c r="D9" s="35" t="s">
        <v>66</v>
      </c>
      <c r="E9" s="36"/>
      <c r="F9" s="35"/>
      <c r="G9" s="35"/>
      <c r="H9" s="35"/>
      <c r="I9" s="35"/>
      <c r="J9" s="35"/>
      <c r="K9" s="35"/>
      <c r="L9" s="35"/>
    </row>
    <row r="10" customFormat="false" ht="45" hidden="false" customHeight="true" outlineLevel="0" collapsed="false">
      <c r="A10" s="34" t="s">
        <v>67</v>
      </c>
      <c r="B10" s="35" t="s">
        <v>52</v>
      </c>
      <c r="C10" s="35" t="s">
        <v>68</v>
      </c>
      <c r="D10" s="35" t="s">
        <v>69</v>
      </c>
      <c r="E10" s="36"/>
      <c r="F10" s="35"/>
      <c r="G10" s="35"/>
      <c r="H10" s="35"/>
      <c r="I10" s="35"/>
      <c r="J10" s="35"/>
      <c r="K10" s="35"/>
      <c r="L10" s="35"/>
    </row>
    <row r="11" customFormat="false" ht="45" hidden="false" customHeight="true" outlineLevel="0" collapsed="false">
      <c r="A11" s="34" t="s">
        <v>70</v>
      </c>
      <c r="B11" s="35" t="s">
        <v>52</v>
      </c>
      <c r="C11" s="35" t="s">
        <v>71</v>
      </c>
      <c r="D11" s="35" t="s">
        <v>72</v>
      </c>
      <c r="E11" s="36"/>
      <c r="F11" s="35"/>
      <c r="G11" s="35"/>
      <c r="H11" s="35"/>
      <c r="I11" s="35"/>
      <c r="J11" s="35"/>
      <c r="K11" s="35"/>
      <c r="L11" s="35"/>
    </row>
    <row r="12" customFormat="false" ht="45" hidden="false" customHeight="true" outlineLevel="0" collapsed="false">
      <c r="A12" s="34" t="s">
        <v>73</v>
      </c>
      <c r="B12" s="35" t="s">
        <v>52</v>
      </c>
      <c r="C12" s="35" t="s">
        <v>74</v>
      </c>
      <c r="D12" s="35" t="s">
        <v>75</v>
      </c>
      <c r="E12" s="36"/>
      <c r="F12" s="35"/>
      <c r="G12" s="35"/>
      <c r="H12" s="35"/>
      <c r="I12" s="35"/>
      <c r="J12" s="35"/>
      <c r="K12" s="35"/>
      <c r="L12" s="35"/>
    </row>
    <row r="13" customFormat="false" ht="45" hidden="false" customHeight="true" outlineLevel="0" collapsed="false">
      <c r="A13" s="34" t="s">
        <v>76</v>
      </c>
      <c r="B13" s="35" t="s">
        <v>52</v>
      </c>
      <c r="C13" s="35" t="s">
        <v>77</v>
      </c>
      <c r="D13" s="35" t="s">
        <v>78</v>
      </c>
      <c r="E13" s="36"/>
      <c r="F13" s="35"/>
      <c r="G13" s="35"/>
      <c r="H13" s="35"/>
      <c r="I13" s="35"/>
      <c r="J13" s="35"/>
      <c r="K13" s="35"/>
      <c r="L13" s="35"/>
    </row>
    <row r="14" customFormat="false" ht="45" hidden="false" customHeight="true" outlineLevel="0" collapsed="false">
      <c r="A14" s="34" t="s">
        <v>79</v>
      </c>
      <c r="B14" s="35" t="s">
        <v>52</v>
      </c>
      <c r="C14" s="35" t="s">
        <v>80</v>
      </c>
      <c r="D14" s="35" t="s">
        <v>81</v>
      </c>
      <c r="E14" s="36"/>
      <c r="F14" s="35"/>
      <c r="G14" s="35"/>
      <c r="H14" s="35"/>
      <c r="I14" s="35"/>
      <c r="J14" s="35"/>
      <c r="K14" s="35"/>
      <c r="L14" s="35"/>
    </row>
    <row r="15" customFormat="false" ht="45" hidden="false" customHeight="true" outlineLevel="0" collapsed="false">
      <c r="A15" s="34" t="s">
        <v>82</v>
      </c>
      <c r="B15" s="35" t="s">
        <v>52</v>
      </c>
      <c r="C15" s="35" t="s">
        <v>83</v>
      </c>
      <c r="D15" s="35" t="s">
        <v>84</v>
      </c>
      <c r="E15" s="36"/>
      <c r="F15" s="35"/>
      <c r="G15" s="35"/>
      <c r="H15" s="35"/>
      <c r="I15" s="35"/>
      <c r="J15" s="35"/>
      <c r="K15" s="35"/>
      <c r="L15" s="35"/>
    </row>
    <row r="16" customFormat="false" ht="45" hidden="false" customHeight="true" outlineLevel="0" collapsed="false">
      <c r="A16" s="34" t="s">
        <v>85</v>
      </c>
      <c r="B16" s="35" t="s">
        <v>52</v>
      </c>
      <c r="C16" s="35" t="s">
        <v>86</v>
      </c>
      <c r="D16" s="35" t="s">
        <v>87</v>
      </c>
      <c r="E16" s="36"/>
      <c r="F16" s="35"/>
      <c r="G16" s="35"/>
      <c r="H16" s="35"/>
      <c r="I16" s="35"/>
      <c r="J16" s="35"/>
      <c r="K16" s="35"/>
      <c r="L16" s="35"/>
    </row>
    <row r="17" customFormat="false" ht="45" hidden="false" customHeight="true" outlineLevel="0" collapsed="false">
      <c r="A17" s="34" t="s">
        <v>88</v>
      </c>
      <c r="B17" s="35" t="s">
        <v>52</v>
      </c>
      <c r="C17" s="35" t="s">
        <v>89</v>
      </c>
      <c r="D17" s="35" t="s">
        <v>90</v>
      </c>
      <c r="E17" s="36"/>
      <c r="F17" s="35"/>
      <c r="G17" s="35"/>
      <c r="H17" s="35"/>
      <c r="I17" s="35"/>
      <c r="J17" s="35"/>
      <c r="K17" s="35"/>
      <c r="L17" s="35"/>
    </row>
    <row r="18" customFormat="false" ht="45" hidden="false" customHeight="true" outlineLevel="0" collapsed="false">
      <c r="A18" s="34" t="s">
        <v>91</v>
      </c>
      <c r="B18" s="35" t="s">
        <v>52</v>
      </c>
      <c r="C18" s="35" t="s">
        <v>92</v>
      </c>
      <c r="D18" s="35" t="s">
        <v>93</v>
      </c>
      <c r="E18" s="36"/>
      <c r="F18" s="35"/>
      <c r="G18" s="35"/>
      <c r="H18" s="35"/>
      <c r="I18" s="35"/>
      <c r="J18" s="35"/>
      <c r="K18" s="35"/>
      <c r="L18" s="35"/>
    </row>
    <row r="19" customFormat="false" ht="45" hidden="false" customHeight="true" outlineLevel="0" collapsed="false">
      <c r="A19" s="34" t="s">
        <v>94</v>
      </c>
      <c r="B19" s="35" t="s">
        <v>52</v>
      </c>
      <c r="C19" s="35" t="s">
        <v>95</v>
      </c>
      <c r="D19" s="35" t="s">
        <v>96</v>
      </c>
      <c r="E19" s="36"/>
      <c r="F19" s="35"/>
      <c r="G19" s="35"/>
      <c r="H19" s="35"/>
      <c r="I19" s="35"/>
      <c r="J19" s="35"/>
      <c r="K19" s="35"/>
      <c r="L19" s="35"/>
    </row>
    <row r="20" customFormat="false" ht="45" hidden="false" customHeight="true" outlineLevel="0" collapsed="false">
      <c r="A20" s="34" t="s">
        <v>97</v>
      </c>
      <c r="B20" s="35" t="s">
        <v>52</v>
      </c>
      <c r="C20" s="35" t="s">
        <v>98</v>
      </c>
      <c r="D20" s="35" t="s">
        <v>99</v>
      </c>
      <c r="E20" s="36"/>
      <c r="F20" s="35"/>
      <c r="G20" s="35"/>
      <c r="H20" s="35"/>
      <c r="I20" s="35"/>
      <c r="J20" s="35"/>
      <c r="K20" s="35"/>
      <c r="L20" s="35"/>
    </row>
    <row r="21" customFormat="false" ht="45" hidden="false" customHeight="true" outlineLevel="0" collapsed="false">
      <c r="A21" s="34" t="s">
        <v>100</v>
      </c>
      <c r="B21" s="35" t="s">
        <v>52</v>
      </c>
      <c r="C21" s="35" t="s">
        <v>101</v>
      </c>
      <c r="D21" s="35" t="s">
        <v>102</v>
      </c>
      <c r="E21" s="36"/>
      <c r="F21" s="35"/>
      <c r="G21" s="35"/>
      <c r="H21" s="35"/>
      <c r="I21" s="35"/>
      <c r="J21" s="35"/>
      <c r="K21" s="35"/>
      <c r="L21" s="35"/>
    </row>
    <row r="22" customFormat="false" ht="45" hidden="false" customHeight="true" outlineLevel="0" collapsed="false">
      <c r="A22" s="34" t="s">
        <v>103</v>
      </c>
      <c r="B22" s="35" t="s">
        <v>52</v>
      </c>
      <c r="C22" s="35" t="s">
        <v>104</v>
      </c>
      <c r="D22" s="35" t="s">
        <v>105</v>
      </c>
      <c r="E22" s="36"/>
      <c r="F22" s="35"/>
      <c r="G22" s="35"/>
      <c r="H22" s="35"/>
      <c r="I22" s="35"/>
      <c r="J22" s="35"/>
      <c r="K22" s="35"/>
      <c r="L22" s="35"/>
    </row>
    <row r="23" customFormat="false" ht="45" hidden="false" customHeight="true" outlineLevel="0" collapsed="false">
      <c r="A23" s="34" t="s">
        <v>106</v>
      </c>
      <c r="B23" s="35" t="s">
        <v>52</v>
      </c>
      <c r="C23" s="35" t="s">
        <v>107</v>
      </c>
      <c r="D23" s="35" t="s">
        <v>108</v>
      </c>
      <c r="E23" s="36"/>
      <c r="F23" s="35"/>
      <c r="G23" s="35"/>
      <c r="H23" s="35"/>
      <c r="I23" s="35"/>
      <c r="J23" s="35"/>
      <c r="K23" s="35"/>
      <c r="L23" s="35"/>
    </row>
    <row r="24" customFormat="false" ht="45" hidden="false" customHeight="true" outlineLevel="0" collapsed="false">
      <c r="A24" s="34" t="s">
        <v>109</v>
      </c>
      <c r="B24" s="35" t="s">
        <v>52</v>
      </c>
      <c r="C24" s="35" t="s">
        <v>110</v>
      </c>
      <c r="D24" s="35" t="s">
        <v>111</v>
      </c>
      <c r="E24" s="36"/>
      <c r="F24" s="35"/>
      <c r="G24" s="35"/>
      <c r="H24" s="35"/>
      <c r="I24" s="35"/>
      <c r="J24" s="35"/>
      <c r="K24" s="35"/>
      <c r="L24" s="35"/>
    </row>
    <row r="25" customFormat="false" ht="45" hidden="false" customHeight="true" outlineLevel="0" collapsed="false">
      <c r="A25" s="34" t="s">
        <v>112</v>
      </c>
      <c r="B25" s="35" t="s">
        <v>52</v>
      </c>
      <c r="C25" s="35" t="s">
        <v>113</v>
      </c>
      <c r="D25" s="35" t="s">
        <v>114</v>
      </c>
      <c r="E25" s="36"/>
      <c r="F25" s="35"/>
      <c r="G25" s="35"/>
      <c r="H25" s="35"/>
      <c r="I25" s="35"/>
      <c r="J25" s="35"/>
      <c r="K25" s="35"/>
      <c r="L25" s="35"/>
    </row>
    <row r="26" customFormat="false" ht="15.75" hidden="false" customHeight="true" outlineLevel="0" collapsed="false">
      <c r="A26" s="33" t="s">
        <v>115</v>
      </c>
      <c r="B26" s="33"/>
      <c r="C26" s="33"/>
      <c r="D26" s="33"/>
      <c r="E26" s="33"/>
      <c r="F26" s="33"/>
      <c r="G26" s="33"/>
      <c r="H26" s="33"/>
      <c r="I26" s="33"/>
      <c r="J26" s="33"/>
      <c r="K26" s="33"/>
      <c r="L26" s="33"/>
    </row>
    <row r="27" customFormat="false" ht="45" hidden="false" customHeight="true" outlineLevel="0" collapsed="false">
      <c r="A27" s="37" t="s">
        <v>116</v>
      </c>
      <c r="B27" s="38" t="s">
        <v>117</v>
      </c>
      <c r="C27" s="38" t="s">
        <v>118</v>
      </c>
      <c r="D27" s="38" t="s">
        <v>119</v>
      </c>
      <c r="E27" s="39"/>
      <c r="F27" s="38"/>
      <c r="G27" s="38"/>
      <c r="H27" s="38"/>
      <c r="I27" s="38"/>
      <c r="J27" s="38"/>
      <c r="K27" s="38"/>
      <c r="L27" s="38"/>
    </row>
    <row r="28" customFormat="false" ht="45" hidden="false" customHeight="true" outlineLevel="0" collapsed="false">
      <c r="A28" s="37" t="s">
        <v>120</v>
      </c>
      <c r="B28" s="38" t="s">
        <v>117</v>
      </c>
      <c r="C28" s="38" t="s">
        <v>121</v>
      </c>
      <c r="D28" s="38" t="s">
        <v>122</v>
      </c>
      <c r="E28" s="39"/>
      <c r="F28" s="38"/>
      <c r="G28" s="38"/>
      <c r="H28" s="38"/>
      <c r="I28" s="38"/>
      <c r="J28" s="38"/>
      <c r="K28" s="38"/>
      <c r="L28" s="38"/>
    </row>
    <row r="29" customFormat="false" ht="45" hidden="false" customHeight="true" outlineLevel="0" collapsed="false">
      <c r="A29" s="37" t="s">
        <v>123</v>
      </c>
      <c r="B29" s="38" t="s">
        <v>117</v>
      </c>
      <c r="C29" s="38" t="s">
        <v>124</v>
      </c>
      <c r="D29" s="38" t="s">
        <v>125</v>
      </c>
      <c r="E29" s="39"/>
      <c r="F29" s="38"/>
      <c r="G29" s="38"/>
      <c r="H29" s="38"/>
      <c r="I29" s="38"/>
      <c r="J29" s="38"/>
      <c r="K29" s="38"/>
      <c r="L29" s="38"/>
    </row>
    <row r="30" customFormat="false" ht="45" hidden="false" customHeight="true" outlineLevel="0" collapsed="false">
      <c r="A30" s="37" t="s">
        <v>126</v>
      </c>
      <c r="B30" s="38" t="s">
        <v>117</v>
      </c>
      <c r="C30" s="38" t="s">
        <v>127</v>
      </c>
      <c r="D30" s="38" t="s">
        <v>128</v>
      </c>
      <c r="E30" s="39"/>
      <c r="F30" s="38"/>
      <c r="G30" s="38"/>
      <c r="H30" s="38"/>
      <c r="I30" s="38"/>
      <c r="J30" s="38"/>
      <c r="K30" s="38"/>
      <c r="L30" s="38"/>
    </row>
    <row r="31" customFormat="false" ht="45" hidden="false" customHeight="true" outlineLevel="0" collapsed="false">
      <c r="A31" s="37" t="s">
        <v>129</v>
      </c>
      <c r="B31" s="38" t="s">
        <v>117</v>
      </c>
      <c r="C31" s="38" t="s">
        <v>130</v>
      </c>
      <c r="D31" s="38" t="s">
        <v>131</v>
      </c>
      <c r="E31" s="39"/>
      <c r="F31" s="38"/>
      <c r="G31" s="38"/>
      <c r="H31" s="38"/>
      <c r="I31" s="38"/>
      <c r="J31" s="38"/>
      <c r="K31" s="38"/>
      <c r="L31" s="38"/>
    </row>
    <row r="32" customFormat="false" ht="45" hidden="false" customHeight="true" outlineLevel="0" collapsed="false">
      <c r="A32" s="37" t="s">
        <v>132</v>
      </c>
      <c r="B32" s="38" t="s">
        <v>117</v>
      </c>
      <c r="C32" s="38" t="s">
        <v>133</v>
      </c>
      <c r="D32" s="38" t="s">
        <v>134</v>
      </c>
      <c r="E32" s="39"/>
      <c r="F32" s="38"/>
      <c r="G32" s="38"/>
      <c r="H32" s="38"/>
      <c r="I32" s="38"/>
      <c r="J32" s="38"/>
      <c r="K32" s="38"/>
      <c r="L32" s="38"/>
    </row>
    <row r="33" customFormat="false" ht="45" hidden="false" customHeight="true" outlineLevel="0" collapsed="false">
      <c r="A33" s="37" t="s">
        <v>135</v>
      </c>
      <c r="B33" s="38" t="s">
        <v>117</v>
      </c>
      <c r="C33" s="38" t="s">
        <v>136</v>
      </c>
      <c r="D33" s="38" t="s">
        <v>137</v>
      </c>
      <c r="E33" s="39"/>
      <c r="F33" s="38"/>
      <c r="G33" s="38"/>
      <c r="H33" s="38"/>
      <c r="I33" s="38"/>
      <c r="J33" s="38"/>
      <c r="K33" s="38"/>
      <c r="L33" s="38"/>
    </row>
    <row r="34" customFormat="false" ht="45" hidden="false" customHeight="true" outlineLevel="0" collapsed="false">
      <c r="A34" s="37" t="s">
        <v>138</v>
      </c>
      <c r="B34" s="38" t="s">
        <v>117</v>
      </c>
      <c r="C34" s="38" t="s">
        <v>139</v>
      </c>
      <c r="D34" s="38" t="s">
        <v>140</v>
      </c>
      <c r="E34" s="39"/>
      <c r="F34" s="38"/>
      <c r="G34" s="38"/>
      <c r="H34" s="38"/>
      <c r="I34" s="38"/>
      <c r="J34" s="38"/>
      <c r="K34" s="38"/>
      <c r="L34" s="38"/>
    </row>
    <row r="35" customFormat="false" ht="45" hidden="false" customHeight="true" outlineLevel="0" collapsed="false">
      <c r="A35" s="37" t="s">
        <v>141</v>
      </c>
      <c r="B35" s="38" t="s">
        <v>117</v>
      </c>
      <c r="C35" s="38" t="s">
        <v>142</v>
      </c>
      <c r="D35" s="38" t="s">
        <v>143</v>
      </c>
      <c r="E35" s="39"/>
      <c r="F35" s="38"/>
      <c r="G35" s="38"/>
      <c r="H35" s="38"/>
      <c r="I35" s="38"/>
      <c r="J35" s="38"/>
      <c r="K35" s="38"/>
      <c r="L35" s="38"/>
    </row>
    <row r="36" customFormat="false" ht="45" hidden="false" customHeight="true" outlineLevel="0" collapsed="false">
      <c r="A36" s="37" t="s">
        <v>144</v>
      </c>
      <c r="B36" s="38" t="s">
        <v>117</v>
      </c>
      <c r="C36" s="38" t="s">
        <v>145</v>
      </c>
      <c r="D36" s="38" t="s">
        <v>146</v>
      </c>
      <c r="E36" s="39"/>
      <c r="F36" s="38"/>
      <c r="G36" s="38"/>
      <c r="H36" s="38"/>
      <c r="I36" s="38"/>
      <c r="J36" s="38"/>
      <c r="K36" s="38"/>
      <c r="L36" s="38"/>
    </row>
    <row r="37" customFormat="false" ht="45" hidden="false" customHeight="true" outlineLevel="0" collapsed="false">
      <c r="A37" s="37" t="s">
        <v>147</v>
      </c>
      <c r="B37" s="38" t="s">
        <v>117</v>
      </c>
      <c r="C37" s="38" t="s">
        <v>148</v>
      </c>
      <c r="D37" s="38" t="s">
        <v>149</v>
      </c>
      <c r="E37" s="39"/>
      <c r="F37" s="38"/>
      <c r="G37" s="38"/>
      <c r="H37" s="38"/>
      <c r="I37" s="38"/>
      <c r="J37" s="38"/>
      <c r="K37" s="38"/>
      <c r="L37" s="38"/>
    </row>
    <row r="38" customFormat="false" ht="15.75" hidden="false" customHeight="true" outlineLevel="0" collapsed="false">
      <c r="A38" s="33" t="s">
        <v>150</v>
      </c>
      <c r="B38" s="33"/>
      <c r="C38" s="33"/>
      <c r="D38" s="33"/>
      <c r="E38" s="33"/>
      <c r="F38" s="33"/>
      <c r="G38" s="33"/>
      <c r="H38" s="33"/>
      <c r="I38" s="33"/>
      <c r="J38" s="33"/>
      <c r="K38" s="33"/>
      <c r="L38" s="33"/>
    </row>
    <row r="39" customFormat="false" ht="45" hidden="false" customHeight="true" outlineLevel="0" collapsed="false">
      <c r="A39" s="40" t="s">
        <v>151</v>
      </c>
      <c r="B39" s="41" t="s">
        <v>152</v>
      </c>
      <c r="C39" s="41" t="s">
        <v>153</v>
      </c>
      <c r="D39" s="41" t="s">
        <v>154</v>
      </c>
      <c r="E39" s="42"/>
      <c r="F39" s="41"/>
      <c r="G39" s="41"/>
      <c r="H39" s="41"/>
      <c r="I39" s="41"/>
      <c r="J39" s="41"/>
      <c r="K39" s="41"/>
      <c r="L39" s="41"/>
    </row>
    <row r="40" customFormat="false" ht="45" hidden="false" customHeight="true" outlineLevel="0" collapsed="false">
      <c r="A40" s="40" t="s">
        <v>155</v>
      </c>
      <c r="B40" s="41" t="s">
        <v>152</v>
      </c>
      <c r="C40" s="41" t="s">
        <v>156</v>
      </c>
      <c r="D40" s="41" t="s">
        <v>157</v>
      </c>
      <c r="E40" s="42"/>
      <c r="F40" s="41"/>
      <c r="G40" s="41"/>
      <c r="H40" s="41"/>
      <c r="I40" s="41"/>
      <c r="J40" s="41"/>
      <c r="K40" s="41"/>
      <c r="L40" s="41"/>
    </row>
    <row r="41" customFormat="false" ht="45" hidden="false" customHeight="true" outlineLevel="0" collapsed="false">
      <c r="A41" s="40" t="s">
        <v>158</v>
      </c>
      <c r="B41" s="41" t="s">
        <v>152</v>
      </c>
      <c r="C41" s="41" t="s">
        <v>159</v>
      </c>
      <c r="D41" s="41" t="s">
        <v>160</v>
      </c>
      <c r="E41" s="42"/>
      <c r="F41" s="41"/>
      <c r="G41" s="41"/>
      <c r="H41" s="41"/>
      <c r="I41" s="41"/>
      <c r="J41" s="41"/>
      <c r="K41" s="41"/>
      <c r="L41" s="41"/>
    </row>
    <row r="42" customFormat="false" ht="45" hidden="false" customHeight="true" outlineLevel="0" collapsed="false">
      <c r="A42" s="40" t="s">
        <v>161</v>
      </c>
      <c r="B42" s="41" t="s">
        <v>152</v>
      </c>
      <c r="C42" s="41" t="s">
        <v>162</v>
      </c>
      <c r="D42" s="41" t="s">
        <v>163</v>
      </c>
      <c r="E42" s="42"/>
      <c r="F42" s="41"/>
      <c r="G42" s="41"/>
      <c r="H42" s="41"/>
      <c r="I42" s="41"/>
      <c r="J42" s="41"/>
      <c r="K42" s="41"/>
      <c r="L42" s="41"/>
    </row>
    <row r="43" customFormat="false" ht="45" hidden="false" customHeight="true" outlineLevel="0" collapsed="false">
      <c r="A43" s="40" t="s">
        <v>164</v>
      </c>
      <c r="B43" s="41" t="s">
        <v>152</v>
      </c>
      <c r="C43" s="41" t="s">
        <v>165</v>
      </c>
      <c r="D43" s="41" t="s">
        <v>166</v>
      </c>
      <c r="E43" s="42"/>
      <c r="F43" s="41"/>
      <c r="G43" s="41"/>
      <c r="H43" s="41"/>
      <c r="I43" s="41"/>
      <c r="J43" s="41"/>
      <c r="K43" s="41"/>
      <c r="L43" s="41"/>
    </row>
    <row r="44" customFormat="false" ht="45" hidden="false" customHeight="true" outlineLevel="0" collapsed="false">
      <c r="A44" s="40" t="s">
        <v>167</v>
      </c>
      <c r="B44" s="41" t="s">
        <v>152</v>
      </c>
      <c r="C44" s="41" t="s">
        <v>168</v>
      </c>
      <c r="D44" s="41" t="s">
        <v>169</v>
      </c>
      <c r="E44" s="42"/>
      <c r="F44" s="41"/>
      <c r="G44" s="41"/>
      <c r="H44" s="41"/>
      <c r="I44" s="41"/>
      <c r="J44" s="41"/>
      <c r="K44" s="41"/>
      <c r="L44" s="41"/>
    </row>
    <row r="45" customFormat="false" ht="45" hidden="false" customHeight="true" outlineLevel="0" collapsed="false">
      <c r="A45" s="40" t="s">
        <v>170</v>
      </c>
      <c r="B45" s="41" t="s">
        <v>152</v>
      </c>
      <c r="C45" s="41" t="s">
        <v>171</v>
      </c>
      <c r="D45" s="41" t="s">
        <v>172</v>
      </c>
      <c r="E45" s="42"/>
      <c r="F45" s="41"/>
      <c r="G45" s="41"/>
      <c r="H45" s="41"/>
      <c r="I45" s="41"/>
      <c r="J45" s="41"/>
      <c r="K45" s="41"/>
      <c r="L45" s="41"/>
    </row>
    <row r="46" customFormat="false" ht="45" hidden="false" customHeight="true" outlineLevel="0" collapsed="false">
      <c r="A46" s="40" t="s">
        <v>173</v>
      </c>
      <c r="B46" s="41" t="s">
        <v>152</v>
      </c>
      <c r="C46" s="41" t="s">
        <v>174</v>
      </c>
      <c r="D46" s="41" t="s">
        <v>175</v>
      </c>
      <c r="E46" s="42"/>
      <c r="F46" s="41"/>
      <c r="G46" s="41"/>
      <c r="H46" s="41"/>
      <c r="I46" s="41"/>
      <c r="J46" s="41"/>
      <c r="K46" s="41"/>
      <c r="L46" s="41"/>
    </row>
    <row r="47" customFormat="false" ht="45" hidden="false" customHeight="true" outlineLevel="0" collapsed="false">
      <c r="A47" s="40" t="s">
        <v>176</v>
      </c>
      <c r="B47" s="41" t="s">
        <v>152</v>
      </c>
      <c r="C47" s="41" t="s">
        <v>177</v>
      </c>
      <c r="D47" s="41" t="s">
        <v>178</v>
      </c>
      <c r="E47" s="42"/>
      <c r="F47" s="41"/>
      <c r="G47" s="41"/>
      <c r="H47" s="41"/>
      <c r="I47" s="41"/>
      <c r="J47" s="41"/>
      <c r="K47" s="41"/>
      <c r="L47" s="41"/>
    </row>
    <row r="48" customFormat="false" ht="45" hidden="false" customHeight="true" outlineLevel="0" collapsed="false">
      <c r="A48" s="40" t="s">
        <v>179</v>
      </c>
      <c r="B48" s="41" t="s">
        <v>152</v>
      </c>
      <c r="C48" s="41" t="s">
        <v>180</v>
      </c>
      <c r="D48" s="41" t="s">
        <v>181</v>
      </c>
      <c r="E48" s="42"/>
      <c r="F48" s="41"/>
      <c r="G48" s="41"/>
      <c r="H48" s="41"/>
      <c r="I48" s="41"/>
      <c r="J48" s="41"/>
      <c r="K48" s="41"/>
      <c r="L48" s="41"/>
    </row>
    <row r="49" customFormat="false" ht="45" hidden="false" customHeight="true" outlineLevel="0" collapsed="false">
      <c r="A49" s="40" t="s">
        <v>182</v>
      </c>
      <c r="B49" s="41" t="s">
        <v>152</v>
      </c>
      <c r="C49" s="41" t="s">
        <v>183</v>
      </c>
      <c r="D49" s="41" t="s">
        <v>184</v>
      </c>
      <c r="E49" s="42"/>
      <c r="F49" s="41"/>
      <c r="G49" s="41"/>
      <c r="H49" s="41"/>
      <c r="I49" s="41"/>
      <c r="J49" s="41"/>
      <c r="K49" s="41"/>
      <c r="L49" s="41"/>
    </row>
    <row r="50" customFormat="false" ht="45" hidden="false" customHeight="true" outlineLevel="0" collapsed="false">
      <c r="A50" s="40" t="s">
        <v>185</v>
      </c>
      <c r="B50" s="41" t="s">
        <v>152</v>
      </c>
      <c r="C50" s="41" t="s">
        <v>186</v>
      </c>
      <c r="D50" s="41" t="s">
        <v>187</v>
      </c>
      <c r="E50" s="42"/>
      <c r="F50" s="41"/>
      <c r="G50" s="41"/>
      <c r="H50" s="41"/>
      <c r="I50" s="41"/>
      <c r="J50" s="41"/>
      <c r="K50" s="41"/>
      <c r="L50" s="41"/>
    </row>
    <row r="51" customFormat="false" ht="45" hidden="false" customHeight="true" outlineLevel="0" collapsed="false">
      <c r="A51" s="40" t="s">
        <v>188</v>
      </c>
      <c r="B51" s="41" t="s">
        <v>152</v>
      </c>
      <c r="C51" s="41" t="s">
        <v>189</v>
      </c>
      <c r="D51" s="41" t="s">
        <v>190</v>
      </c>
      <c r="E51" s="42"/>
      <c r="F51" s="41"/>
      <c r="G51" s="41"/>
      <c r="H51" s="41"/>
      <c r="I51" s="41"/>
      <c r="J51" s="41"/>
      <c r="K51" s="41"/>
      <c r="L51" s="41"/>
    </row>
    <row r="52" customFormat="false" ht="45" hidden="false" customHeight="true" outlineLevel="0" collapsed="false">
      <c r="A52" s="40" t="s">
        <v>191</v>
      </c>
      <c r="B52" s="41" t="s">
        <v>152</v>
      </c>
      <c r="C52" s="41" t="s">
        <v>192</v>
      </c>
      <c r="D52" s="41" t="s">
        <v>193</v>
      </c>
      <c r="E52" s="42"/>
      <c r="F52" s="41"/>
      <c r="G52" s="41"/>
      <c r="H52" s="41"/>
      <c r="I52" s="41"/>
      <c r="J52" s="41"/>
      <c r="K52" s="41"/>
      <c r="L52" s="41"/>
    </row>
    <row r="53" customFormat="false" ht="45" hidden="false" customHeight="true" outlineLevel="0" collapsed="false">
      <c r="A53" s="40" t="s">
        <v>194</v>
      </c>
      <c r="B53" s="41" t="s">
        <v>152</v>
      </c>
      <c r="C53" s="41" t="s">
        <v>195</v>
      </c>
      <c r="D53" s="41" t="s">
        <v>196</v>
      </c>
      <c r="E53" s="42"/>
      <c r="F53" s="41"/>
      <c r="G53" s="41"/>
      <c r="H53" s="41"/>
      <c r="I53" s="41"/>
      <c r="J53" s="41"/>
      <c r="K53" s="41"/>
      <c r="L53" s="41"/>
    </row>
    <row r="54" customFormat="false" ht="45" hidden="false" customHeight="true" outlineLevel="0" collapsed="false">
      <c r="A54" s="40" t="s">
        <v>197</v>
      </c>
      <c r="B54" s="41" t="s">
        <v>152</v>
      </c>
      <c r="C54" s="41" t="s">
        <v>198</v>
      </c>
      <c r="D54" s="41" t="s">
        <v>199</v>
      </c>
      <c r="E54" s="42"/>
      <c r="F54" s="41"/>
      <c r="G54" s="41"/>
      <c r="H54" s="41"/>
      <c r="I54" s="41"/>
      <c r="J54" s="41"/>
      <c r="K54" s="41"/>
      <c r="L54" s="41"/>
    </row>
    <row r="55" customFormat="false" ht="45" hidden="false" customHeight="true" outlineLevel="0" collapsed="false">
      <c r="A55" s="40" t="s">
        <v>200</v>
      </c>
      <c r="B55" s="41" t="s">
        <v>152</v>
      </c>
      <c r="C55" s="41" t="s">
        <v>201</v>
      </c>
      <c r="D55" s="41" t="s">
        <v>202</v>
      </c>
      <c r="E55" s="42"/>
      <c r="F55" s="41"/>
      <c r="G55" s="41"/>
      <c r="H55" s="41"/>
      <c r="I55" s="41"/>
      <c r="J55" s="41"/>
      <c r="K55" s="41"/>
      <c r="L55" s="41"/>
    </row>
    <row r="56" customFormat="false" ht="45" hidden="false" customHeight="true" outlineLevel="0" collapsed="false">
      <c r="A56" s="40" t="s">
        <v>203</v>
      </c>
      <c r="B56" s="41" t="s">
        <v>152</v>
      </c>
      <c r="C56" s="41" t="s">
        <v>204</v>
      </c>
      <c r="D56" s="41" t="s">
        <v>205</v>
      </c>
      <c r="E56" s="42"/>
      <c r="F56" s="41"/>
      <c r="G56" s="41"/>
      <c r="H56" s="41"/>
      <c r="I56" s="41"/>
      <c r="J56" s="41"/>
      <c r="K56" s="41"/>
      <c r="L56" s="41"/>
    </row>
    <row r="57" customFormat="false" ht="45" hidden="false" customHeight="true" outlineLevel="0" collapsed="false">
      <c r="A57" s="40" t="s">
        <v>206</v>
      </c>
      <c r="B57" s="41" t="s">
        <v>152</v>
      </c>
      <c r="C57" s="41" t="s">
        <v>207</v>
      </c>
      <c r="D57" s="41" t="s">
        <v>208</v>
      </c>
      <c r="E57" s="42"/>
      <c r="F57" s="41"/>
      <c r="G57" s="41"/>
      <c r="H57" s="41"/>
      <c r="I57" s="41"/>
      <c r="J57" s="41"/>
      <c r="K57" s="41"/>
      <c r="L57" s="41"/>
    </row>
    <row r="58" customFormat="false" ht="45" hidden="false" customHeight="true" outlineLevel="0" collapsed="false">
      <c r="A58" s="40" t="s">
        <v>209</v>
      </c>
      <c r="B58" s="41" t="s">
        <v>152</v>
      </c>
      <c r="C58" s="41" t="s">
        <v>210</v>
      </c>
      <c r="D58" s="41" t="s">
        <v>211</v>
      </c>
      <c r="E58" s="42"/>
      <c r="F58" s="41"/>
      <c r="G58" s="41"/>
      <c r="H58" s="41"/>
      <c r="I58" s="41"/>
      <c r="J58" s="41"/>
      <c r="K58" s="41"/>
      <c r="L58" s="41"/>
    </row>
    <row r="59" customFormat="false" ht="45" hidden="false" customHeight="true" outlineLevel="0" collapsed="false">
      <c r="A59" s="40" t="s">
        <v>212</v>
      </c>
      <c r="B59" s="41" t="s">
        <v>152</v>
      </c>
      <c r="C59" s="41" t="s">
        <v>213</v>
      </c>
      <c r="D59" s="41" t="s">
        <v>214</v>
      </c>
      <c r="E59" s="42"/>
      <c r="F59" s="41"/>
      <c r="G59" s="41"/>
      <c r="H59" s="41"/>
      <c r="I59" s="41"/>
      <c r="J59" s="41"/>
      <c r="K59" s="41"/>
      <c r="L59" s="41"/>
    </row>
    <row r="60" customFormat="false" ht="45" hidden="false" customHeight="true" outlineLevel="0" collapsed="false">
      <c r="A60" s="40" t="s">
        <v>215</v>
      </c>
      <c r="B60" s="41" t="s">
        <v>152</v>
      </c>
      <c r="C60" s="41" t="s">
        <v>216</v>
      </c>
      <c r="D60" s="41" t="s">
        <v>217</v>
      </c>
      <c r="E60" s="42"/>
      <c r="F60" s="41"/>
      <c r="G60" s="41"/>
      <c r="H60" s="41"/>
      <c r="I60" s="41"/>
      <c r="J60" s="41"/>
      <c r="K60" s="41"/>
      <c r="L60" s="41"/>
    </row>
    <row r="61" customFormat="false" ht="45" hidden="false" customHeight="true" outlineLevel="0" collapsed="false">
      <c r="A61" s="40" t="s">
        <v>218</v>
      </c>
      <c r="B61" s="41" t="s">
        <v>152</v>
      </c>
      <c r="C61" s="41" t="s">
        <v>219</v>
      </c>
      <c r="D61" s="41" t="s">
        <v>220</v>
      </c>
      <c r="E61" s="42"/>
      <c r="F61" s="41"/>
      <c r="G61" s="41"/>
      <c r="H61" s="41"/>
      <c r="I61" s="41"/>
      <c r="J61" s="41"/>
      <c r="K61" s="41"/>
      <c r="L61" s="41"/>
    </row>
    <row r="62" customFormat="false" ht="45" hidden="false" customHeight="true" outlineLevel="0" collapsed="false">
      <c r="A62" s="40" t="s">
        <v>221</v>
      </c>
      <c r="B62" s="41" t="s">
        <v>152</v>
      </c>
      <c r="C62" s="41" t="s">
        <v>222</v>
      </c>
      <c r="D62" s="41" t="s">
        <v>223</v>
      </c>
      <c r="E62" s="42"/>
      <c r="F62" s="41"/>
      <c r="G62" s="41"/>
      <c r="H62" s="41"/>
      <c r="I62" s="41"/>
      <c r="J62" s="41"/>
      <c r="K62" s="41"/>
      <c r="L62" s="41"/>
    </row>
    <row r="63" customFormat="false" ht="45" hidden="false" customHeight="true" outlineLevel="0" collapsed="false">
      <c r="A63" s="40" t="s">
        <v>224</v>
      </c>
      <c r="B63" s="41" t="s">
        <v>152</v>
      </c>
      <c r="C63" s="41" t="s">
        <v>225</v>
      </c>
      <c r="D63" s="41" t="s">
        <v>226</v>
      </c>
      <c r="E63" s="42"/>
      <c r="F63" s="41"/>
      <c r="G63" s="41"/>
      <c r="H63" s="41"/>
      <c r="I63" s="41"/>
      <c r="J63" s="41"/>
      <c r="K63" s="41"/>
      <c r="L63" s="41"/>
    </row>
    <row r="64" customFormat="false" ht="45" hidden="false" customHeight="true" outlineLevel="0" collapsed="false">
      <c r="A64" s="40" t="s">
        <v>227</v>
      </c>
      <c r="B64" s="41" t="s">
        <v>152</v>
      </c>
      <c r="C64" s="41" t="s">
        <v>228</v>
      </c>
      <c r="D64" s="41" t="s">
        <v>229</v>
      </c>
      <c r="E64" s="42"/>
      <c r="F64" s="41"/>
      <c r="G64" s="41"/>
      <c r="H64" s="41"/>
      <c r="I64" s="41"/>
      <c r="J64" s="41"/>
      <c r="K64" s="41"/>
      <c r="L64" s="41"/>
    </row>
    <row r="65" customFormat="false" ht="45" hidden="false" customHeight="true" outlineLevel="0" collapsed="false">
      <c r="A65" s="40" t="s">
        <v>230</v>
      </c>
      <c r="B65" s="41" t="s">
        <v>152</v>
      </c>
      <c r="C65" s="41" t="s">
        <v>231</v>
      </c>
      <c r="D65" s="41" t="s">
        <v>232</v>
      </c>
      <c r="E65" s="42"/>
      <c r="F65" s="41"/>
      <c r="G65" s="41"/>
      <c r="H65" s="41"/>
      <c r="I65" s="41"/>
      <c r="J65" s="41"/>
      <c r="K65" s="41"/>
      <c r="L65" s="41"/>
    </row>
    <row r="66" customFormat="false" ht="45" hidden="false" customHeight="true" outlineLevel="0" collapsed="false">
      <c r="A66" s="40" t="s">
        <v>233</v>
      </c>
      <c r="B66" s="41" t="s">
        <v>152</v>
      </c>
      <c r="C66" s="41" t="s">
        <v>234</v>
      </c>
      <c r="D66" s="41" t="s">
        <v>235</v>
      </c>
      <c r="E66" s="42"/>
      <c r="F66" s="41"/>
      <c r="G66" s="41"/>
      <c r="H66" s="41"/>
      <c r="I66" s="41"/>
      <c r="J66" s="41"/>
      <c r="K66" s="41"/>
      <c r="L66" s="41"/>
    </row>
    <row r="67" customFormat="false" ht="45" hidden="false" customHeight="true" outlineLevel="0" collapsed="false">
      <c r="A67" s="40" t="s">
        <v>236</v>
      </c>
      <c r="B67" s="41" t="s">
        <v>152</v>
      </c>
      <c r="C67" s="41" t="s">
        <v>237</v>
      </c>
      <c r="D67" s="41" t="s">
        <v>238</v>
      </c>
      <c r="E67" s="42"/>
      <c r="F67" s="41"/>
      <c r="G67" s="41"/>
      <c r="H67" s="41"/>
      <c r="I67" s="41"/>
      <c r="J67" s="41"/>
      <c r="K67" s="41"/>
      <c r="L67" s="41"/>
    </row>
    <row r="68" customFormat="false" ht="45" hidden="false" customHeight="true" outlineLevel="0" collapsed="false">
      <c r="A68" s="40" t="s">
        <v>239</v>
      </c>
      <c r="B68" s="41" t="s">
        <v>152</v>
      </c>
      <c r="C68" s="41" t="s">
        <v>240</v>
      </c>
      <c r="D68" s="41" t="s">
        <v>241</v>
      </c>
      <c r="E68" s="42"/>
      <c r="F68" s="41"/>
      <c r="G68" s="41"/>
      <c r="H68" s="41"/>
      <c r="I68" s="41"/>
      <c r="J68" s="41"/>
      <c r="K68" s="41"/>
      <c r="L68" s="41"/>
    </row>
    <row r="69" customFormat="false" ht="45" hidden="false" customHeight="true" outlineLevel="0" collapsed="false">
      <c r="A69" s="40" t="s">
        <v>242</v>
      </c>
      <c r="B69" s="41" t="s">
        <v>152</v>
      </c>
      <c r="C69" s="41" t="s">
        <v>243</v>
      </c>
      <c r="D69" s="41" t="s">
        <v>244</v>
      </c>
      <c r="E69" s="42"/>
      <c r="F69" s="41"/>
      <c r="G69" s="41"/>
      <c r="H69" s="41"/>
      <c r="I69" s="41"/>
      <c r="J69" s="41"/>
      <c r="K69" s="41"/>
      <c r="L69" s="41"/>
    </row>
    <row r="70" customFormat="false" ht="45" hidden="false" customHeight="true" outlineLevel="0" collapsed="false">
      <c r="A70" s="40" t="s">
        <v>245</v>
      </c>
      <c r="B70" s="41" t="s">
        <v>152</v>
      </c>
      <c r="C70" s="41" t="s">
        <v>246</v>
      </c>
      <c r="D70" s="41" t="s">
        <v>247</v>
      </c>
      <c r="E70" s="42"/>
      <c r="F70" s="41"/>
      <c r="G70" s="41"/>
      <c r="H70" s="41"/>
      <c r="I70" s="41"/>
      <c r="J70" s="41"/>
      <c r="K70" s="41"/>
      <c r="L70" s="41"/>
    </row>
    <row r="71" customFormat="false" ht="45" hidden="false" customHeight="true" outlineLevel="0" collapsed="false">
      <c r="A71" s="40" t="s">
        <v>248</v>
      </c>
      <c r="B71" s="41" t="s">
        <v>152</v>
      </c>
      <c r="C71" s="41" t="s">
        <v>249</v>
      </c>
      <c r="D71" s="41" t="s">
        <v>250</v>
      </c>
      <c r="E71" s="42"/>
      <c r="F71" s="41"/>
      <c r="G71" s="41"/>
      <c r="H71" s="41"/>
      <c r="I71" s="41"/>
      <c r="J71" s="41"/>
      <c r="K71" s="41"/>
      <c r="L71" s="41"/>
    </row>
    <row r="72" customFormat="false" ht="45" hidden="false" customHeight="true" outlineLevel="0" collapsed="false">
      <c r="A72" s="40" t="s">
        <v>251</v>
      </c>
      <c r="B72" s="41" t="s">
        <v>152</v>
      </c>
      <c r="C72" s="41" t="s">
        <v>252</v>
      </c>
      <c r="D72" s="41" t="s">
        <v>253</v>
      </c>
      <c r="E72" s="42"/>
      <c r="F72" s="41"/>
      <c r="G72" s="41"/>
      <c r="H72" s="41"/>
      <c r="I72" s="41"/>
      <c r="J72" s="41"/>
      <c r="K72" s="41"/>
      <c r="L72" s="41"/>
    </row>
    <row r="73" customFormat="false" ht="45" hidden="false" customHeight="true" outlineLevel="0" collapsed="false">
      <c r="A73" s="40" t="s">
        <v>254</v>
      </c>
      <c r="B73" s="41" t="s">
        <v>152</v>
      </c>
      <c r="C73" s="41" t="s">
        <v>255</v>
      </c>
      <c r="D73" s="41" t="s">
        <v>256</v>
      </c>
      <c r="E73" s="42"/>
      <c r="F73" s="41"/>
      <c r="G73" s="41"/>
      <c r="H73" s="41"/>
      <c r="I73" s="41"/>
      <c r="J73" s="41"/>
      <c r="K73" s="41"/>
      <c r="L73" s="41"/>
    </row>
    <row r="74" customFormat="false" ht="45" hidden="false" customHeight="true" outlineLevel="0" collapsed="false">
      <c r="A74" s="40" t="s">
        <v>257</v>
      </c>
      <c r="B74" s="41" t="s">
        <v>152</v>
      </c>
      <c r="C74" s="41" t="s">
        <v>258</v>
      </c>
      <c r="D74" s="41" t="s">
        <v>259</v>
      </c>
      <c r="E74" s="42"/>
      <c r="F74" s="41"/>
      <c r="G74" s="41"/>
      <c r="H74" s="41"/>
      <c r="I74" s="41"/>
      <c r="J74" s="41"/>
      <c r="K74" s="41"/>
      <c r="L74" s="41"/>
    </row>
    <row r="75" customFormat="false" ht="45" hidden="false" customHeight="true" outlineLevel="0" collapsed="false">
      <c r="A75" s="40" t="s">
        <v>260</v>
      </c>
      <c r="B75" s="41" t="s">
        <v>152</v>
      </c>
      <c r="C75" s="41" t="s">
        <v>261</v>
      </c>
      <c r="D75" s="41" t="s">
        <v>262</v>
      </c>
      <c r="E75" s="42"/>
      <c r="F75" s="41"/>
      <c r="G75" s="41"/>
      <c r="H75" s="41"/>
      <c r="I75" s="41"/>
      <c r="J75" s="41"/>
      <c r="K75" s="41"/>
      <c r="L75" s="41"/>
    </row>
    <row r="76" customFormat="false" ht="45" hidden="false" customHeight="true" outlineLevel="0" collapsed="false">
      <c r="A76" s="40" t="s">
        <v>263</v>
      </c>
      <c r="B76" s="41" t="s">
        <v>152</v>
      </c>
      <c r="C76" s="41" t="s">
        <v>264</v>
      </c>
      <c r="D76" s="41" t="s">
        <v>265</v>
      </c>
      <c r="E76" s="42"/>
      <c r="F76" s="41"/>
      <c r="G76" s="41"/>
      <c r="H76" s="41"/>
      <c r="I76" s="41"/>
      <c r="J76" s="41"/>
      <c r="K76" s="41"/>
      <c r="L76" s="41"/>
    </row>
    <row r="77" customFormat="false" ht="45" hidden="false" customHeight="true" outlineLevel="0" collapsed="false">
      <c r="A77" s="40" t="s">
        <v>266</v>
      </c>
      <c r="B77" s="41" t="s">
        <v>152</v>
      </c>
      <c r="C77" s="41" t="s">
        <v>267</v>
      </c>
      <c r="D77" s="41" t="s">
        <v>268</v>
      </c>
      <c r="E77" s="42"/>
      <c r="F77" s="41"/>
      <c r="G77" s="41"/>
      <c r="H77" s="41"/>
      <c r="I77" s="41"/>
      <c r="J77" s="41"/>
      <c r="K77" s="41"/>
      <c r="L77" s="41"/>
    </row>
    <row r="78" customFormat="false" ht="45" hidden="false" customHeight="true" outlineLevel="0" collapsed="false">
      <c r="A78" s="40" t="s">
        <v>269</v>
      </c>
      <c r="B78" s="41" t="s">
        <v>152</v>
      </c>
      <c r="C78" s="41" t="s">
        <v>270</v>
      </c>
      <c r="D78" s="41" t="s">
        <v>271</v>
      </c>
      <c r="E78" s="42"/>
      <c r="F78" s="41"/>
      <c r="G78" s="41"/>
      <c r="H78" s="41"/>
      <c r="I78" s="41"/>
      <c r="J78" s="41"/>
      <c r="K78" s="41"/>
      <c r="L78" s="41"/>
    </row>
    <row r="79" customFormat="false" ht="45" hidden="false" customHeight="true" outlineLevel="0" collapsed="false">
      <c r="A79" s="40" t="s">
        <v>272</v>
      </c>
      <c r="B79" s="41" t="s">
        <v>152</v>
      </c>
      <c r="C79" s="41" t="s">
        <v>273</v>
      </c>
      <c r="D79" s="41" t="s">
        <v>274</v>
      </c>
      <c r="E79" s="42"/>
      <c r="F79" s="41"/>
      <c r="G79" s="41"/>
      <c r="H79" s="41"/>
      <c r="I79" s="41"/>
      <c r="J79" s="41"/>
      <c r="K79" s="41"/>
      <c r="L79" s="41"/>
    </row>
    <row r="80" customFormat="false" ht="45" hidden="false" customHeight="true" outlineLevel="0" collapsed="false">
      <c r="A80" s="40" t="s">
        <v>275</v>
      </c>
      <c r="B80" s="41" t="s">
        <v>152</v>
      </c>
      <c r="C80" s="41" t="s">
        <v>276</v>
      </c>
      <c r="D80" s="41" t="s">
        <v>277</v>
      </c>
      <c r="E80" s="42"/>
      <c r="F80" s="41"/>
      <c r="G80" s="41"/>
      <c r="H80" s="41"/>
      <c r="I80" s="41"/>
      <c r="J80" s="41"/>
      <c r="K80" s="41"/>
      <c r="L80" s="41"/>
    </row>
    <row r="81" customFormat="false" ht="45" hidden="false" customHeight="true" outlineLevel="0" collapsed="false">
      <c r="A81" s="40" t="s">
        <v>278</v>
      </c>
      <c r="B81" s="41" t="s">
        <v>152</v>
      </c>
      <c r="C81" s="41" t="s">
        <v>279</v>
      </c>
      <c r="D81" s="41" t="s">
        <v>280</v>
      </c>
      <c r="E81" s="42"/>
      <c r="F81" s="41"/>
      <c r="G81" s="41"/>
      <c r="H81" s="41"/>
      <c r="I81" s="41"/>
      <c r="J81" s="41"/>
      <c r="K81" s="41"/>
      <c r="L81" s="41"/>
    </row>
    <row r="82" customFormat="false" ht="45" hidden="false" customHeight="true" outlineLevel="0" collapsed="false">
      <c r="A82" s="40" t="s">
        <v>281</v>
      </c>
      <c r="B82" s="41" t="s">
        <v>152</v>
      </c>
      <c r="C82" s="41" t="s">
        <v>282</v>
      </c>
      <c r="D82" s="41" t="s">
        <v>283</v>
      </c>
      <c r="E82" s="42"/>
      <c r="F82" s="41"/>
      <c r="G82" s="41"/>
      <c r="H82" s="41"/>
      <c r="I82" s="41"/>
      <c r="J82" s="41"/>
      <c r="K82" s="41"/>
      <c r="L82" s="41"/>
    </row>
    <row r="83" customFormat="false" ht="15.75" hidden="false" customHeight="true" outlineLevel="0" collapsed="false">
      <c r="A83" s="33" t="s">
        <v>284</v>
      </c>
      <c r="B83" s="33"/>
      <c r="C83" s="33"/>
      <c r="D83" s="33"/>
      <c r="E83" s="33"/>
      <c r="F83" s="33"/>
      <c r="G83" s="33"/>
      <c r="H83" s="33"/>
      <c r="I83" s="33"/>
      <c r="J83" s="33"/>
      <c r="K83" s="33"/>
      <c r="L83" s="33"/>
    </row>
    <row r="84" customFormat="false" ht="45" hidden="false" customHeight="true" outlineLevel="0" collapsed="false">
      <c r="A84" s="43" t="s">
        <v>285</v>
      </c>
      <c r="B84" s="44" t="s">
        <v>286</v>
      </c>
      <c r="C84" s="44" t="s">
        <v>287</v>
      </c>
      <c r="D84" s="44" t="s">
        <v>288</v>
      </c>
      <c r="E84" s="45"/>
      <c r="F84" s="44"/>
      <c r="G84" s="44"/>
      <c r="H84" s="44"/>
      <c r="I84" s="44"/>
      <c r="J84" s="44"/>
      <c r="K84" s="44"/>
      <c r="L84" s="44"/>
    </row>
    <row r="85" customFormat="false" ht="45" hidden="false" customHeight="true" outlineLevel="0" collapsed="false">
      <c r="A85" s="43" t="s">
        <v>289</v>
      </c>
      <c r="B85" s="44" t="s">
        <v>286</v>
      </c>
      <c r="C85" s="44" t="s">
        <v>290</v>
      </c>
      <c r="D85" s="44" t="s">
        <v>291</v>
      </c>
      <c r="E85" s="45"/>
      <c r="F85" s="44"/>
      <c r="G85" s="44"/>
      <c r="H85" s="44"/>
      <c r="I85" s="44"/>
      <c r="J85" s="44"/>
      <c r="K85" s="44"/>
      <c r="L85" s="44"/>
    </row>
    <row r="86" customFormat="false" ht="45" hidden="false" customHeight="true" outlineLevel="0" collapsed="false">
      <c r="A86" s="43" t="s">
        <v>292</v>
      </c>
      <c r="B86" s="44" t="s">
        <v>286</v>
      </c>
      <c r="C86" s="44" t="s">
        <v>293</v>
      </c>
      <c r="D86" s="44" t="s">
        <v>294</v>
      </c>
      <c r="E86" s="45"/>
      <c r="F86" s="44"/>
      <c r="G86" s="44"/>
      <c r="H86" s="44"/>
      <c r="I86" s="44"/>
      <c r="J86" s="44"/>
      <c r="K86" s="44"/>
      <c r="L86" s="44"/>
    </row>
    <row r="87" customFormat="false" ht="45" hidden="false" customHeight="true" outlineLevel="0" collapsed="false">
      <c r="A87" s="43" t="s">
        <v>295</v>
      </c>
      <c r="B87" s="44" t="s">
        <v>286</v>
      </c>
      <c r="C87" s="44" t="s">
        <v>296</v>
      </c>
      <c r="D87" s="44" t="s">
        <v>297</v>
      </c>
      <c r="E87" s="45"/>
      <c r="F87" s="44"/>
      <c r="G87" s="44"/>
      <c r="H87" s="44"/>
      <c r="I87" s="44"/>
      <c r="J87" s="44"/>
      <c r="K87" s="44"/>
      <c r="L87" s="44"/>
    </row>
    <row r="88" customFormat="false" ht="45" hidden="false" customHeight="true" outlineLevel="0" collapsed="false">
      <c r="A88" s="43" t="s">
        <v>298</v>
      </c>
      <c r="B88" s="44" t="s">
        <v>286</v>
      </c>
      <c r="C88" s="44" t="s">
        <v>299</v>
      </c>
      <c r="D88" s="44" t="s">
        <v>300</v>
      </c>
      <c r="E88" s="45"/>
      <c r="F88" s="44"/>
      <c r="G88" s="44"/>
      <c r="H88" s="44"/>
      <c r="I88" s="44"/>
      <c r="J88" s="44"/>
      <c r="K88" s="44"/>
      <c r="L88" s="44"/>
    </row>
    <row r="89" customFormat="false" ht="45" hidden="false" customHeight="true" outlineLevel="0" collapsed="false">
      <c r="A89" s="43" t="s">
        <v>301</v>
      </c>
      <c r="B89" s="44" t="s">
        <v>286</v>
      </c>
      <c r="C89" s="44" t="s">
        <v>302</v>
      </c>
      <c r="D89" s="44" t="s">
        <v>303</v>
      </c>
      <c r="E89" s="45"/>
      <c r="F89" s="44"/>
      <c r="G89" s="44"/>
      <c r="H89" s="44"/>
      <c r="I89" s="44"/>
      <c r="J89" s="44"/>
      <c r="K89" s="44"/>
      <c r="L89" s="44"/>
    </row>
    <row r="90" customFormat="false" ht="45" hidden="false" customHeight="true" outlineLevel="0" collapsed="false">
      <c r="A90" s="43" t="s">
        <v>304</v>
      </c>
      <c r="B90" s="44" t="s">
        <v>286</v>
      </c>
      <c r="C90" s="44" t="s">
        <v>305</v>
      </c>
      <c r="D90" s="44" t="s">
        <v>306</v>
      </c>
      <c r="E90" s="45"/>
      <c r="F90" s="44"/>
      <c r="G90" s="44"/>
      <c r="H90" s="44"/>
      <c r="I90" s="44"/>
      <c r="J90" s="44"/>
      <c r="K90" s="44"/>
      <c r="L90" s="44"/>
    </row>
    <row r="91" customFormat="false" ht="45" hidden="false" customHeight="true" outlineLevel="0" collapsed="false">
      <c r="A91" s="43" t="s">
        <v>307</v>
      </c>
      <c r="B91" s="44" t="s">
        <v>286</v>
      </c>
      <c r="C91" s="44" t="s">
        <v>308</v>
      </c>
      <c r="D91" s="44" t="s">
        <v>309</v>
      </c>
      <c r="E91" s="45"/>
      <c r="F91" s="44"/>
      <c r="G91" s="44"/>
      <c r="H91" s="44"/>
      <c r="I91" s="44"/>
      <c r="J91" s="44"/>
      <c r="K91" s="44"/>
      <c r="L91" s="44"/>
    </row>
    <row r="92" customFormat="false" ht="45" hidden="false" customHeight="true" outlineLevel="0" collapsed="false">
      <c r="A92" s="43" t="s">
        <v>310</v>
      </c>
      <c r="B92" s="44" t="s">
        <v>286</v>
      </c>
      <c r="C92" s="44" t="s">
        <v>311</v>
      </c>
      <c r="D92" s="44" t="s">
        <v>312</v>
      </c>
      <c r="E92" s="45"/>
      <c r="F92" s="44"/>
      <c r="G92" s="44"/>
      <c r="H92" s="44"/>
      <c r="I92" s="44"/>
      <c r="J92" s="44"/>
      <c r="K92" s="44"/>
      <c r="L92" s="44"/>
    </row>
    <row r="93" customFormat="false" ht="45" hidden="false" customHeight="true" outlineLevel="0" collapsed="false">
      <c r="A93" s="43" t="s">
        <v>313</v>
      </c>
      <c r="B93" s="44" t="s">
        <v>286</v>
      </c>
      <c r="C93" s="44" t="s">
        <v>314</v>
      </c>
      <c r="D93" s="44" t="s">
        <v>315</v>
      </c>
      <c r="E93" s="45"/>
      <c r="F93" s="44"/>
      <c r="G93" s="44"/>
      <c r="H93" s="44"/>
      <c r="I93" s="44"/>
      <c r="J93" s="44"/>
      <c r="K93" s="44"/>
      <c r="L93" s="44"/>
    </row>
    <row r="94" customFormat="false" ht="45" hidden="false" customHeight="true" outlineLevel="0" collapsed="false">
      <c r="A94" s="43" t="s">
        <v>316</v>
      </c>
      <c r="B94" s="44" t="s">
        <v>286</v>
      </c>
      <c r="C94" s="44" t="s">
        <v>317</v>
      </c>
      <c r="D94" s="44" t="s">
        <v>318</v>
      </c>
      <c r="E94" s="45"/>
      <c r="F94" s="44"/>
      <c r="G94" s="44"/>
      <c r="H94" s="44"/>
      <c r="I94" s="44"/>
      <c r="J94" s="44"/>
      <c r="K94" s="44"/>
      <c r="L94" s="44"/>
    </row>
    <row r="95" customFormat="false" ht="45" hidden="false" customHeight="true" outlineLevel="0" collapsed="false">
      <c r="A95" s="43" t="s">
        <v>319</v>
      </c>
      <c r="B95" s="44" t="s">
        <v>286</v>
      </c>
      <c r="C95" s="44" t="s">
        <v>320</v>
      </c>
      <c r="D95" s="44" t="s">
        <v>321</v>
      </c>
      <c r="E95" s="45"/>
      <c r="F95" s="44"/>
      <c r="G95" s="44"/>
      <c r="H95" s="44"/>
      <c r="I95" s="44"/>
      <c r="J95" s="44"/>
      <c r="K95" s="44"/>
      <c r="L95" s="44"/>
    </row>
    <row r="96" customFormat="false" ht="45" hidden="false" customHeight="true" outlineLevel="0" collapsed="false">
      <c r="A96" s="43" t="s">
        <v>322</v>
      </c>
      <c r="B96" s="44" t="s">
        <v>286</v>
      </c>
      <c r="C96" s="44" t="s">
        <v>323</v>
      </c>
      <c r="D96" s="44" t="s">
        <v>324</v>
      </c>
      <c r="E96" s="45"/>
      <c r="F96" s="44"/>
      <c r="G96" s="44"/>
      <c r="H96" s="44"/>
      <c r="I96" s="44"/>
      <c r="J96" s="44"/>
      <c r="K96" s="44"/>
      <c r="L96" s="44"/>
    </row>
    <row r="97" customFormat="false" ht="45" hidden="false" customHeight="true" outlineLevel="0" collapsed="false">
      <c r="A97" s="43" t="s">
        <v>325</v>
      </c>
      <c r="B97" s="44" t="s">
        <v>286</v>
      </c>
      <c r="C97" s="44" t="s">
        <v>326</v>
      </c>
      <c r="D97" s="44" t="s">
        <v>327</v>
      </c>
      <c r="E97" s="45"/>
      <c r="F97" s="44"/>
      <c r="G97" s="44"/>
      <c r="H97" s="44"/>
      <c r="I97" s="44"/>
      <c r="J97" s="44"/>
      <c r="K97" s="44"/>
      <c r="L97" s="44"/>
    </row>
    <row r="98" customFormat="false" ht="45" hidden="false" customHeight="true" outlineLevel="0" collapsed="false">
      <c r="A98" s="43" t="s">
        <v>328</v>
      </c>
      <c r="B98" s="44" t="s">
        <v>286</v>
      </c>
      <c r="C98" s="44" t="s">
        <v>329</v>
      </c>
      <c r="D98" s="44" t="s">
        <v>330</v>
      </c>
      <c r="E98" s="45"/>
      <c r="F98" s="44"/>
      <c r="G98" s="44"/>
      <c r="H98" s="44"/>
      <c r="I98" s="44"/>
      <c r="J98" s="44"/>
      <c r="K98" s="44"/>
      <c r="L98" s="44"/>
    </row>
    <row r="99" customFormat="false" ht="45" hidden="false" customHeight="true" outlineLevel="0" collapsed="false">
      <c r="A99" s="43" t="s">
        <v>331</v>
      </c>
      <c r="B99" s="44" t="s">
        <v>286</v>
      </c>
      <c r="C99" s="44" t="s">
        <v>332</v>
      </c>
      <c r="D99" s="44" t="s">
        <v>333</v>
      </c>
      <c r="E99" s="45"/>
      <c r="F99" s="44"/>
      <c r="G99" s="44"/>
      <c r="H99" s="44"/>
      <c r="I99" s="44"/>
      <c r="J99" s="44"/>
      <c r="K99" s="44"/>
      <c r="L99" s="44"/>
    </row>
    <row r="100" customFormat="false" ht="15.75" hidden="false" customHeight="true" outlineLevel="0" collapsed="false">
      <c r="A100" s="33" t="s">
        <v>334</v>
      </c>
      <c r="B100" s="33"/>
      <c r="C100" s="33"/>
      <c r="D100" s="33"/>
      <c r="E100" s="33"/>
      <c r="F100" s="33"/>
      <c r="G100" s="33"/>
      <c r="H100" s="33"/>
      <c r="I100" s="33"/>
      <c r="J100" s="33"/>
      <c r="K100" s="33"/>
      <c r="L100" s="33"/>
    </row>
    <row r="101" customFormat="false" ht="45" hidden="false" customHeight="true" outlineLevel="0" collapsed="false">
      <c r="A101" s="46" t="s">
        <v>335</v>
      </c>
      <c r="B101" s="47" t="s">
        <v>336</v>
      </c>
      <c r="C101" s="47" t="s">
        <v>337</v>
      </c>
      <c r="D101" s="47" t="s">
        <v>338</v>
      </c>
      <c r="E101" s="48"/>
      <c r="F101" s="47"/>
      <c r="G101" s="47"/>
      <c r="H101" s="47"/>
      <c r="I101" s="47"/>
      <c r="J101" s="47"/>
      <c r="K101" s="47"/>
      <c r="L101" s="47"/>
    </row>
    <row r="102" customFormat="false" ht="45" hidden="false" customHeight="true" outlineLevel="0" collapsed="false">
      <c r="A102" s="46" t="s">
        <v>339</v>
      </c>
      <c r="B102" s="47" t="s">
        <v>336</v>
      </c>
      <c r="C102" s="47" t="s">
        <v>340</v>
      </c>
      <c r="D102" s="47" t="s">
        <v>341</v>
      </c>
      <c r="E102" s="48"/>
      <c r="F102" s="47"/>
      <c r="G102" s="47"/>
      <c r="H102" s="47"/>
      <c r="I102" s="47"/>
      <c r="J102" s="47"/>
      <c r="K102" s="47"/>
      <c r="L102" s="47"/>
    </row>
    <row r="103" customFormat="false" ht="45" hidden="false" customHeight="true" outlineLevel="0" collapsed="false">
      <c r="A103" s="46" t="s">
        <v>342</v>
      </c>
      <c r="B103" s="47" t="s">
        <v>336</v>
      </c>
      <c r="C103" s="47" t="s">
        <v>343</v>
      </c>
      <c r="D103" s="47" t="s">
        <v>344</v>
      </c>
      <c r="E103" s="48"/>
      <c r="F103" s="47"/>
      <c r="G103" s="47"/>
      <c r="H103" s="47"/>
      <c r="I103" s="47"/>
      <c r="J103" s="47"/>
      <c r="K103" s="47"/>
      <c r="L103" s="47"/>
    </row>
    <row r="104" customFormat="false" ht="45" hidden="false" customHeight="true" outlineLevel="0" collapsed="false">
      <c r="A104" s="46" t="s">
        <v>345</v>
      </c>
      <c r="B104" s="47" t="s">
        <v>336</v>
      </c>
      <c r="C104" s="47" t="s">
        <v>346</v>
      </c>
      <c r="D104" s="47" t="s">
        <v>347</v>
      </c>
      <c r="E104" s="48"/>
      <c r="F104" s="47"/>
      <c r="G104" s="47"/>
      <c r="H104" s="47"/>
      <c r="I104" s="47"/>
      <c r="J104" s="47"/>
      <c r="K104" s="47"/>
      <c r="L104" s="47"/>
    </row>
    <row r="105" customFormat="false" ht="45" hidden="false" customHeight="true" outlineLevel="0" collapsed="false">
      <c r="A105" s="46" t="s">
        <v>348</v>
      </c>
      <c r="B105" s="47" t="s">
        <v>336</v>
      </c>
      <c r="C105" s="47" t="s">
        <v>349</v>
      </c>
      <c r="D105" s="47" t="s">
        <v>350</v>
      </c>
      <c r="E105" s="48"/>
      <c r="F105" s="47"/>
      <c r="G105" s="47"/>
      <c r="H105" s="47"/>
      <c r="I105" s="47"/>
      <c r="J105" s="47"/>
      <c r="K105" s="47"/>
      <c r="L105" s="47"/>
    </row>
    <row r="106" customFormat="false" ht="45" hidden="false" customHeight="true" outlineLevel="0" collapsed="false">
      <c r="A106" s="46" t="s">
        <v>351</v>
      </c>
      <c r="B106" s="47" t="s">
        <v>336</v>
      </c>
      <c r="C106" s="47" t="s">
        <v>352</v>
      </c>
      <c r="D106" s="47" t="s">
        <v>353</v>
      </c>
      <c r="E106" s="48"/>
      <c r="F106" s="47"/>
      <c r="G106" s="47"/>
      <c r="H106" s="47"/>
      <c r="I106" s="47"/>
      <c r="J106" s="47"/>
      <c r="K106" s="47"/>
      <c r="L106" s="47"/>
    </row>
    <row r="107" customFormat="false" ht="45" hidden="false" customHeight="true" outlineLevel="0" collapsed="false">
      <c r="A107" s="46" t="s">
        <v>354</v>
      </c>
      <c r="B107" s="47" t="s">
        <v>336</v>
      </c>
      <c r="C107" s="47" t="s">
        <v>355</v>
      </c>
      <c r="D107" s="47" t="s">
        <v>356</v>
      </c>
      <c r="E107" s="48"/>
      <c r="F107" s="47"/>
      <c r="G107" s="47"/>
      <c r="H107" s="47"/>
      <c r="I107" s="47"/>
      <c r="J107" s="47"/>
      <c r="K107" s="47"/>
      <c r="L107" s="47"/>
    </row>
    <row r="108" customFormat="false" ht="45" hidden="false" customHeight="true" outlineLevel="0" collapsed="false">
      <c r="A108" s="46" t="s">
        <v>357</v>
      </c>
      <c r="B108" s="47" t="s">
        <v>336</v>
      </c>
      <c r="C108" s="47" t="s">
        <v>358</v>
      </c>
      <c r="D108" s="47" t="s">
        <v>359</v>
      </c>
      <c r="E108" s="48"/>
      <c r="F108" s="47"/>
      <c r="G108" s="47"/>
      <c r="H108" s="47"/>
      <c r="I108" s="47"/>
      <c r="J108" s="47"/>
      <c r="K108" s="47"/>
      <c r="L108" s="47"/>
    </row>
    <row r="110" customFormat="false" ht="15" hidden="false" customHeight="false" outlineLevel="0" collapsed="false">
      <c r="A110" s="49" t="s">
        <v>360</v>
      </c>
      <c r="B110" s="49"/>
      <c r="C110" s="49"/>
      <c r="D110" s="49"/>
      <c r="E110" s="50" t="n">
        <f aca="false">COUNTIF(E4:E108,"C")</f>
        <v>0</v>
      </c>
      <c r="F110" s="50" t="n">
        <f aca="false">COUNTIF(E4:E108,"P")</f>
        <v>0</v>
      </c>
      <c r="G110" s="50" t="n">
        <f aca="false">COUNTIF(E4:E108,"NC")</f>
        <v>0</v>
      </c>
      <c r="H110" s="50" t="n">
        <f aca="false">COUNTIF(E4:E108,"C")+COUNTIF(E4:E108,"P")+COUNTIF(E4:E108,"NC")</f>
        <v>0</v>
      </c>
      <c r="I110" s="51" t="n">
        <f aca="false">IFERROR(S110/V110,0)</f>
        <v>0</v>
      </c>
    </row>
  </sheetData>
  <mergeCells count="8">
    <mergeCell ref="A1:L1"/>
    <mergeCell ref="A2:L2"/>
    <mergeCell ref="A4:L4"/>
    <mergeCell ref="A26:L26"/>
    <mergeCell ref="A38:L38"/>
    <mergeCell ref="A83:L83"/>
    <mergeCell ref="A100:L100"/>
    <mergeCell ref="A110:D110"/>
  </mergeCells>
  <conditionalFormatting sqref="E4:E108">
    <cfRule type="cellIs" priority="2" operator="equal" aboveAverage="0" equalAverage="0" bottom="0" percent="0" rank="0" text="" dxfId="0">
      <formula>"C"</formula>
    </cfRule>
    <cfRule type="cellIs" priority="3" operator="equal" aboveAverage="0" equalAverage="0" bottom="0" percent="0" rank="0" text="" dxfId="1">
      <formula>"P"</formula>
    </cfRule>
    <cfRule type="cellIs" priority="4" operator="equal" aboveAverage="0" equalAverage="0" bottom="0" percent="0" rank="0" text="" dxfId="2">
      <formula>"NC"</formula>
    </cfRule>
    <cfRule type="cellIs" priority="5" operator="equal" aboveAverage="0" equalAverage="0" bottom="0" percent="0" rank="0" text="" dxfId="3">
      <formula>"NA"</formula>
    </cfRule>
  </conditionalFormatting>
  <dataValidations count="1">
    <dataValidation allowBlank="true" errorStyle="stop" operator="between" showDropDown="false" showErrorMessage="false" showInputMessage="false" sqref="E5:E25 E27:E37 E39:E82 E84:E99 E101:E108" type="list">
      <formula1>"C,P,NC,NA"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392B"/>
    <pageSetUpPr fitToPage="false"/>
  </sheetPr>
  <dimension ref="A1: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38"/>
    <col collapsed="false" customWidth="true" hidden="false" outlineLevel="0" max="4" min="4" style="0" width="32"/>
    <col collapsed="false" customWidth="true" hidden="false" outlineLevel="0" max="5" min="5" style="0" width="12"/>
    <col collapsed="false" customWidth="true" hidden="false" outlineLevel="0" max="6" min="6" style="0" width="30"/>
    <col collapsed="false" customWidth="true" hidden="false" outlineLevel="0" max="7" min="7" style="0" width="28"/>
    <col collapsed="false" customWidth="true" hidden="false" outlineLevel="0" max="8" min="8" style="0" width="16"/>
    <col collapsed="false" customWidth="true" hidden="false" outlineLevel="0" max="9" min="9" style="0" width="14"/>
  </cols>
  <sheetData>
    <row r="1" customFormat="false" ht="27.75" hidden="false" customHeight="true" outlineLevel="0" collapsed="false">
      <c r="A1" s="32" t="s">
        <v>361</v>
      </c>
      <c r="B1" s="32"/>
      <c r="C1" s="32"/>
      <c r="D1" s="32"/>
      <c r="E1" s="32"/>
      <c r="F1" s="32"/>
      <c r="G1" s="32"/>
      <c r="H1" s="32"/>
      <c r="I1" s="32"/>
    </row>
    <row r="2" customFormat="false" ht="15.75" hidden="false" customHeight="true" outlineLevel="0" collapsed="false">
      <c r="A2" s="2" t="s">
        <v>362</v>
      </c>
      <c r="B2" s="2"/>
      <c r="C2" s="2"/>
      <c r="D2" s="2"/>
      <c r="E2" s="2"/>
      <c r="F2" s="2"/>
      <c r="G2" s="2"/>
      <c r="H2" s="2"/>
      <c r="I2" s="2"/>
    </row>
    <row r="3" customFormat="false" ht="31.5" hidden="false" customHeight="true" outlineLevel="0" collapsed="false">
      <c r="A3" s="8" t="s">
        <v>363</v>
      </c>
      <c r="B3" s="8" t="s">
        <v>364</v>
      </c>
      <c r="C3" s="8" t="s">
        <v>42</v>
      </c>
      <c r="D3" s="8" t="s">
        <v>44</v>
      </c>
      <c r="E3" s="8" t="s">
        <v>365</v>
      </c>
      <c r="F3" s="8" t="s">
        <v>45</v>
      </c>
      <c r="G3" s="8" t="s">
        <v>46</v>
      </c>
      <c r="H3" s="8" t="s">
        <v>366</v>
      </c>
      <c r="I3" s="8" t="s">
        <v>49</v>
      </c>
    </row>
    <row r="4" customFormat="false" ht="60" hidden="false" customHeight="true" outlineLevel="0" collapsed="false">
      <c r="A4" s="18" t="s">
        <v>367</v>
      </c>
      <c r="B4" s="18" t="s">
        <v>368</v>
      </c>
      <c r="C4" s="31" t="s">
        <v>369</v>
      </c>
      <c r="D4" s="31" t="s">
        <v>370</v>
      </c>
      <c r="E4" s="52"/>
      <c r="F4" s="31"/>
      <c r="G4" s="31"/>
      <c r="H4" s="31"/>
      <c r="I4" s="31"/>
    </row>
    <row r="5" customFormat="false" ht="60" hidden="false" customHeight="true" outlineLevel="0" collapsed="false">
      <c r="A5" s="53" t="s">
        <v>371</v>
      </c>
      <c r="B5" s="53" t="s">
        <v>372</v>
      </c>
      <c r="C5" s="54" t="s">
        <v>373</v>
      </c>
      <c r="D5" s="54" t="s">
        <v>374</v>
      </c>
      <c r="E5" s="55"/>
      <c r="F5" s="54"/>
      <c r="G5" s="54"/>
      <c r="H5" s="54"/>
      <c r="I5" s="54"/>
    </row>
    <row r="6" customFormat="false" ht="60" hidden="false" customHeight="true" outlineLevel="0" collapsed="false">
      <c r="A6" s="18" t="s">
        <v>375</v>
      </c>
      <c r="B6" s="18" t="s">
        <v>376</v>
      </c>
      <c r="C6" s="31" t="s">
        <v>377</v>
      </c>
      <c r="D6" s="31" t="s">
        <v>378</v>
      </c>
      <c r="E6" s="52"/>
      <c r="F6" s="31"/>
      <c r="G6" s="31"/>
      <c r="H6" s="31"/>
      <c r="I6" s="31"/>
    </row>
    <row r="7" customFormat="false" ht="60" hidden="false" customHeight="true" outlineLevel="0" collapsed="false">
      <c r="A7" s="53" t="s">
        <v>379</v>
      </c>
      <c r="B7" s="53" t="s">
        <v>380</v>
      </c>
      <c r="C7" s="54" t="s">
        <v>381</v>
      </c>
      <c r="D7" s="54" t="s">
        <v>382</v>
      </c>
      <c r="E7" s="55"/>
      <c r="F7" s="54"/>
      <c r="G7" s="54"/>
      <c r="H7" s="54"/>
      <c r="I7" s="54"/>
    </row>
    <row r="8" customFormat="false" ht="60" hidden="false" customHeight="true" outlineLevel="0" collapsed="false">
      <c r="A8" s="18" t="s">
        <v>383</v>
      </c>
      <c r="B8" s="18" t="s">
        <v>384</v>
      </c>
      <c r="C8" s="31" t="s">
        <v>385</v>
      </c>
      <c r="D8" s="31" t="s">
        <v>386</v>
      </c>
      <c r="E8" s="52"/>
      <c r="F8" s="31"/>
      <c r="G8" s="31"/>
      <c r="H8" s="31"/>
      <c r="I8" s="31"/>
    </row>
    <row r="9" customFormat="false" ht="60" hidden="false" customHeight="true" outlineLevel="0" collapsed="false">
      <c r="A9" s="53" t="s">
        <v>387</v>
      </c>
      <c r="B9" s="53" t="s">
        <v>388</v>
      </c>
      <c r="C9" s="54" t="s">
        <v>389</v>
      </c>
      <c r="D9" s="54" t="s">
        <v>390</v>
      </c>
      <c r="E9" s="55"/>
      <c r="F9" s="54"/>
      <c r="G9" s="54"/>
      <c r="H9" s="54"/>
      <c r="I9" s="54"/>
    </row>
    <row r="10" customFormat="false" ht="60" hidden="false" customHeight="true" outlineLevel="0" collapsed="false">
      <c r="A10" s="18" t="s">
        <v>391</v>
      </c>
      <c r="B10" s="18" t="s">
        <v>392</v>
      </c>
      <c r="C10" s="31" t="s">
        <v>393</v>
      </c>
      <c r="D10" s="31" t="s">
        <v>394</v>
      </c>
      <c r="E10" s="52"/>
      <c r="F10" s="31"/>
      <c r="G10" s="31"/>
      <c r="H10" s="31"/>
      <c r="I10" s="31"/>
    </row>
    <row r="11" customFormat="false" ht="60" hidden="false" customHeight="true" outlineLevel="0" collapsed="false">
      <c r="A11" s="53" t="s">
        <v>395</v>
      </c>
      <c r="B11" s="53" t="s">
        <v>396</v>
      </c>
      <c r="C11" s="54" t="s">
        <v>397</v>
      </c>
      <c r="D11" s="54" t="s">
        <v>398</v>
      </c>
      <c r="E11" s="55"/>
      <c r="F11" s="54"/>
      <c r="G11" s="54"/>
      <c r="H11" s="54"/>
      <c r="I11" s="54"/>
    </row>
    <row r="12" customFormat="false" ht="60" hidden="false" customHeight="true" outlineLevel="0" collapsed="false">
      <c r="A12" s="18" t="s">
        <v>399</v>
      </c>
      <c r="B12" s="18" t="s">
        <v>400</v>
      </c>
      <c r="C12" s="31" t="s">
        <v>401</v>
      </c>
      <c r="D12" s="31" t="s">
        <v>402</v>
      </c>
      <c r="E12" s="52"/>
      <c r="F12" s="31"/>
      <c r="G12" s="31"/>
      <c r="H12" s="31"/>
      <c r="I12" s="31"/>
    </row>
    <row r="13" customFormat="false" ht="60" hidden="false" customHeight="true" outlineLevel="0" collapsed="false">
      <c r="A13" s="53" t="s">
        <v>403</v>
      </c>
      <c r="B13" s="53" t="s">
        <v>404</v>
      </c>
      <c r="C13" s="54" t="s">
        <v>405</v>
      </c>
      <c r="D13" s="54" t="s">
        <v>406</v>
      </c>
      <c r="E13" s="55"/>
      <c r="F13" s="54"/>
      <c r="G13" s="54"/>
      <c r="H13" s="54"/>
      <c r="I13" s="54"/>
    </row>
    <row r="15" customFormat="false" ht="15" hidden="false" customHeight="false" outlineLevel="0" collapsed="false">
      <c r="A15" s="49" t="s">
        <v>407</v>
      </c>
      <c r="B15" s="49"/>
      <c r="C15" s="49"/>
      <c r="D15" s="49"/>
      <c r="E15" s="50" t="n">
        <f aca="false">COUNTIF(E4:E14,"Met")</f>
        <v>0</v>
      </c>
      <c r="G15" s="50" t="n">
        <f aca="false">COUNTIF(E4:E14,"Gap")</f>
        <v>0</v>
      </c>
      <c r="H15" s="50" t="n">
        <f aca="false">COUNTIF(E4:E14,"Met")+COUNTIF(E4:E14,"Gap")+COUNTIF(E4:E14,"Partial")</f>
        <v>0</v>
      </c>
      <c r="I15" s="51" t="n">
        <f aca="false">IFERROR(G15/I15,0)</f>
        <v>0</v>
      </c>
    </row>
  </sheetData>
  <mergeCells count="3">
    <mergeCell ref="A1:I1"/>
    <mergeCell ref="A2:I2"/>
    <mergeCell ref="A15:D15"/>
  </mergeCells>
  <conditionalFormatting sqref="E4:E14">
    <cfRule type="cellIs" priority="2" operator="equal" aboveAverage="0" equalAverage="0" bottom="0" percent="0" rank="0" text="" dxfId="0">
      <formula>"Met"</formula>
    </cfRule>
    <cfRule type="cellIs" priority="3" operator="equal" aboveAverage="0" equalAverage="0" bottom="0" percent="0" rank="0" text="" dxfId="1">
      <formula>"Partial"</formula>
    </cfRule>
    <cfRule type="cellIs" priority="4" operator="equal" aboveAverage="0" equalAverage="0" bottom="0" percent="0" rank="0" text="" dxfId="2">
      <formula>"Gap"</formula>
    </cfRule>
  </conditionalFormatting>
  <dataValidations count="1">
    <dataValidation allowBlank="true" errorStyle="stop" operator="between" showDropDown="false" showErrorMessage="false" showInputMessage="false" sqref="E4:E13" type="list">
      <formula1>"Met,Partial,Gap,N/A"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980B9"/>
    <pageSetUpPr fitToPage="fals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32"/>
    <col collapsed="false" customWidth="true" hidden="false" outlineLevel="0" max="4" min="4" style="0" width="20"/>
    <col collapsed="false" customWidth="true" hidden="false" outlineLevel="0" max="5" min="5" style="0" width="16"/>
    <col collapsed="false" customWidth="true" hidden="false" outlineLevel="0" max="6" min="6" style="0" width="14"/>
    <col collapsed="false" customWidth="true" hidden="false" outlineLevel="0" max="7" min="7" style="0" width="16"/>
    <col collapsed="false" customWidth="true" hidden="false" outlineLevel="0" max="8" min="8" style="0" width="30"/>
  </cols>
  <sheetData>
    <row r="1" customFormat="false" ht="27.75" hidden="false" customHeight="true" outlineLevel="0" collapsed="false">
      <c r="A1" s="32" t="s">
        <v>408</v>
      </c>
      <c r="B1" s="32"/>
      <c r="C1" s="32"/>
      <c r="D1" s="32"/>
      <c r="E1" s="32"/>
      <c r="F1" s="32"/>
      <c r="G1" s="32"/>
      <c r="H1" s="32"/>
    </row>
    <row r="2" customFormat="false" ht="15.75" hidden="false" customHeight="true" outlineLevel="0" collapsed="false">
      <c r="A2" s="2" t="s">
        <v>409</v>
      </c>
      <c r="B2" s="2"/>
      <c r="C2" s="2"/>
      <c r="D2" s="2"/>
      <c r="E2" s="2"/>
      <c r="F2" s="2"/>
      <c r="G2" s="2"/>
      <c r="H2" s="2"/>
    </row>
    <row r="3" customFormat="false" ht="31.5" hidden="false" customHeight="true" outlineLevel="0" collapsed="false">
      <c r="A3" s="8" t="s">
        <v>410</v>
      </c>
      <c r="B3" s="8" t="s">
        <v>411</v>
      </c>
      <c r="C3" s="8" t="s">
        <v>412</v>
      </c>
      <c r="D3" s="8" t="s">
        <v>413</v>
      </c>
      <c r="E3" s="8" t="s">
        <v>414</v>
      </c>
      <c r="F3" s="8" t="s">
        <v>415</v>
      </c>
      <c r="G3" s="8" t="s">
        <v>416</v>
      </c>
      <c r="H3" s="8" t="s">
        <v>417</v>
      </c>
    </row>
    <row r="4" customFormat="false" ht="30" hidden="false" customHeight="true" outlineLevel="0" collapsed="false">
      <c r="A4" s="18" t="s">
        <v>418</v>
      </c>
      <c r="B4" s="31" t="s">
        <v>419</v>
      </c>
      <c r="C4" s="31" t="s">
        <v>420</v>
      </c>
      <c r="D4" s="31" t="s">
        <v>421</v>
      </c>
      <c r="E4" s="31"/>
      <c r="F4" s="31" t="s">
        <v>422</v>
      </c>
      <c r="G4" s="31"/>
      <c r="H4" s="31" t="s">
        <v>423</v>
      </c>
    </row>
    <row r="5" customFormat="false" ht="30" hidden="false" customHeight="true" outlineLevel="0" collapsed="false">
      <c r="A5" s="53" t="s">
        <v>424</v>
      </c>
      <c r="B5" s="54" t="s">
        <v>425</v>
      </c>
      <c r="C5" s="54" t="s">
        <v>426</v>
      </c>
      <c r="D5" s="54" t="s">
        <v>421</v>
      </c>
      <c r="E5" s="54"/>
      <c r="F5" s="54" t="s">
        <v>427</v>
      </c>
      <c r="G5" s="54"/>
      <c r="H5" s="54" t="s">
        <v>428</v>
      </c>
    </row>
    <row r="6" customFormat="false" ht="30" hidden="false" customHeight="true" outlineLevel="0" collapsed="false">
      <c r="A6" s="18" t="s">
        <v>429</v>
      </c>
      <c r="B6" s="31" t="s">
        <v>430</v>
      </c>
      <c r="C6" s="31" t="s">
        <v>431</v>
      </c>
      <c r="D6" s="31" t="s">
        <v>421</v>
      </c>
      <c r="E6" s="31"/>
      <c r="F6" s="31" t="s">
        <v>422</v>
      </c>
      <c r="G6" s="31"/>
      <c r="H6" s="31" t="s">
        <v>428</v>
      </c>
    </row>
    <row r="7" customFormat="false" ht="30" hidden="false" customHeight="true" outlineLevel="0" collapsed="false">
      <c r="A7" s="53" t="s">
        <v>432</v>
      </c>
      <c r="B7" s="54" t="s">
        <v>433</v>
      </c>
      <c r="C7" s="54" t="s">
        <v>434</v>
      </c>
      <c r="D7" s="54" t="s">
        <v>421</v>
      </c>
      <c r="E7" s="54"/>
      <c r="F7" s="54" t="s">
        <v>422</v>
      </c>
      <c r="G7" s="54"/>
      <c r="H7" s="54"/>
    </row>
    <row r="8" customFormat="false" ht="30" hidden="false" customHeight="true" outlineLevel="0" collapsed="false">
      <c r="A8" s="18" t="s">
        <v>435</v>
      </c>
      <c r="B8" s="31" t="s">
        <v>82</v>
      </c>
      <c r="C8" s="31" t="s">
        <v>436</v>
      </c>
      <c r="D8" s="31" t="s">
        <v>437</v>
      </c>
      <c r="E8" s="31"/>
      <c r="F8" s="31" t="s">
        <v>427</v>
      </c>
      <c r="G8" s="31"/>
      <c r="H8" s="31"/>
    </row>
    <row r="9" customFormat="false" ht="30" hidden="false" customHeight="true" outlineLevel="0" collapsed="false">
      <c r="A9" s="53" t="s">
        <v>438</v>
      </c>
      <c r="B9" s="54" t="s">
        <v>439</v>
      </c>
      <c r="C9" s="54" t="s">
        <v>440</v>
      </c>
      <c r="D9" s="54" t="s">
        <v>441</v>
      </c>
      <c r="E9" s="54"/>
      <c r="F9" s="54" t="s">
        <v>442</v>
      </c>
      <c r="G9" s="54"/>
      <c r="H9" s="54" t="s">
        <v>443</v>
      </c>
    </row>
    <row r="10" customFormat="false" ht="30" hidden="false" customHeight="true" outlineLevel="0" collapsed="false">
      <c r="A10" s="18" t="s">
        <v>444</v>
      </c>
      <c r="B10" s="31" t="s">
        <v>445</v>
      </c>
      <c r="C10" s="31" t="s">
        <v>446</v>
      </c>
      <c r="D10" s="31" t="s">
        <v>421</v>
      </c>
      <c r="E10" s="31"/>
      <c r="F10" s="31" t="s">
        <v>447</v>
      </c>
      <c r="G10" s="31"/>
      <c r="H10" s="31" t="s">
        <v>448</v>
      </c>
    </row>
    <row r="11" customFormat="false" ht="30" hidden="false" customHeight="true" outlineLevel="0" collapsed="false">
      <c r="A11" s="53" t="s">
        <v>449</v>
      </c>
      <c r="B11" s="54" t="s">
        <v>176</v>
      </c>
      <c r="C11" s="54" t="s">
        <v>450</v>
      </c>
      <c r="D11" s="54" t="s">
        <v>421</v>
      </c>
      <c r="E11" s="54"/>
      <c r="F11" s="54" t="s">
        <v>451</v>
      </c>
      <c r="G11" s="54"/>
      <c r="H11" s="54" t="s">
        <v>452</v>
      </c>
    </row>
    <row r="12" customFormat="false" ht="30" hidden="false" customHeight="true" outlineLevel="0" collapsed="false">
      <c r="A12" s="18" t="s">
        <v>453</v>
      </c>
      <c r="B12" s="31" t="s">
        <v>454</v>
      </c>
      <c r="C12" s="31" t="s">
        <v>455</v>
      </c>
      <c r="D12" s="31" t="s">
        <v>421</v>
      </c>
      <c r="E12" s="31"/>
      <c r="F12" s="31" t="s">
        <v>456</v>
      </c>
      <c r="G12" s="31"/>
      <c r="H12" s="31"/>
    </row>
    <row r="13" customFormat="false" ht="30" hidden="false" customHeight="true" outlineLevel="0" collapsed="false">
      <c r="A13" s="53" t="s">
        <v>457</v>
      </c>
      <c r="B13" s="54" t="s">
        <v>458</v>
      </c>
      <c r="C13" s="54" t="s">
        <v>459</v>
      </c>
      <c r="D13" s="54" t="s">
        <v>421</v>
      </c>
      <c r="E13" s="54"/>
      <c r="F13" s="54" t="s">
        <v>442</v>
      </c>
      <c r="G13" s="54"/>
      <c r="H13" s="54" t="s">
        <v>460</v>
      </c>
    </row>
    <row r="14" customFormat="false" ht="30" hidden="false" customHeight="true" outlineLevel="0" collapsed="false">
      <c r="A14" s="18" t="s">
        <v>461</v>
      </c>
      <c r="B14" s="31" t="s">
        <v>188</v>
      </c>
      <c r="C14" s="31" t="s">
        <v>462</v>
      </c>
      <c r="D14" s="31" t="s">
        <v>421</v>
      </c>
      <c r="E14" s="31"/>
      <c r="F14" s="31" t="s">
        <v>463</v>
      </c>
      <c r="G14" s="31"/>
      <c r="H14" s="31"/>
    </row>
    <row r="15" customFormat="false" ht="30" hidden="false" customHeight="true" outlineLevel="0" collapsed="false">
      <c r="A15" s="53" t="s">
        <v>464</v>
      </c>
      <c r="B15" s="54" t="s">
        <v>465</v>
      </c>
      <c r="C15" s="54" t="s">
        <v>466</v>
      </c>
      <c r="D15" s="54" t="s">
        <v>467</v>
      </c>
      <c r="E15" s="54"/>
      <c r="F15" s="54" t="s">
        <v>468</v>
      </c>
      <c r="G15" s="54"/>
      <c r="H15" s="54" t="s">
        <v>469</v>
      </c>
    </row>
    <row r="16" customFormat="false" ht="30" hidden="false" customHeight="true" outlineLevel="0" collapsed="false">
      <c r="A16" s="18" t="s">
        <v>470</v>
      </c>
      <c r="B16" s="31" t="s">
        <v>367</v>
      </c>
      <c r="C16" s="31" t="s">
        <v>471</v>
      </c>
      <c r="D16" s="31" t="s">
        <v>472</v>
      </c>
      <c r="E16" s="31"/>
      <c r="F16" s="31" t="s">
        <v>473</v>
      </c>
      <c r="G16" s="31"/>
      <c r="H16" s="31" t="s">
        <v>474</v>
      </c>
    </row>
    <row r="17" customFormat="false" ht="30" hidden="false" customHeight="true" outlineLevel="0" collapsed="false">
      <c r="A17" s="53" t="s">
        <v>475</v>
      </c>
      <c r="B17" s="54" t="s">
        <v>375</v>
      </c>
      <c r="C17" s="54" t="s">
        <v>476</v>
      </c>
      <c r="D17" s="54" t="s">
        <v>472</v>
      </c>
      <c r="E17" s="54"/>
      <c r="F17" s="54" t="s">
        <v>477</v>
      </c>
      <c r="G17" s="54"/>
      <c r="H17" s="54" t="s">
        <v>478</v>
      </c>
    </row>
    <row r="18" customFormat="false" ht="30" hidden="false" customHeight="true" outlineLevel="0" collapsed="false">
      <c r="A18" s="18" t="s">
        <v>479</v>
      </c>
      <c r="B18" s="31" t="s">
        <v>379</v>
      </c>
      <c r="C18" s="31" t="s">
        <v>480</v>
      </c>
      <c r="D18" s="31" t="s">
        <v>481</v>
      </c>
      <c r="E18" s="31"/>
      <c r="F18" s="31" t="s">
        <v>442</v>
      </c>
      <c r="G18" s="31"/>
      <c r="H18" s="31" t="s">
        <v>482</v>
      </c>
    </row>
    <row r="19" customFormat="false" ht="30" hidden="false" customHeight="true" outlineLevel="0" collapsed="false">
      <c r="A19" s="53" t="s">
        <v>483</v>
      </c>
      <c r="B19" s="54" t="s">
        <v>383</v>
      </c>
      <c r="C19" s="54" t="s">
        <v>484</v>
      </c>
      <c r="D19" s="54" t="s">
        <v>421</v>
      </c>
      <c r="E19" s="54"/>
      <c r="F19" s="54" t="s">
        <v>422</v>
      </c>
      <c r="G19" s="54"/>
      <c r="H19" s="54" t="s">
        <v>485</v>
      </c>
    </row>
    <row r="20" customFormat="false" ht="30" hidden="false" customHeight="true" outlineLevel="0" collapsed="false">
      <c r="A20" s="18" t="s">
        <v>486</v>
      </c>
      <c r="B20" s="31" t="s">
        <v>391</v>
      </c>
      <c r="C20" s="31" t="s">
        <v>487</v>
      </c>
      <c r="D20" s="31" t="s">
        <v>467</v>
      </c>
      <c r="E20" s="31"/>
      <c r="F20" s="31" t="s">
        <v>468</v>
      </c>
      <c r="G20" s="31"/>
      <c r="H20" s="31" t="s">
        <v>469</v>
      </c>
    </row>
    <row r="21" customFormat="false" ht="30" hidden="false" customHeight="true" outlineLevel="0" collapsed="false">
      <c r="A21" s="53" t="s">
        <v>488</v>
      </c>
      <c r="B21" s="54" t="s">
        <v>489</v>
      </c>
      <c r="C21" s="54" t="s">
        <v>490</v>
      </c>
      <c r="D21" s="54" t="s">
        <v>421</v>
      </c>
      <c r="E21" s="54"/>
      <c r="F21" s="54" t="s">
        <v>451</v>
      </c>
      <c r="G21" s="54"/>
      <c r="H21" s="54"/>
    </row>
    <row r="22" customFormat="false" ht="30" hidden="false" customHeight="true" outlineLevel="0" collapsed="false">
      <c r="A22" s="18" t="s">
        <v>491</v>
      </c>
      <c r="B22" s="31" t="s">
        <v>492</v>
      </c>
      <c r="C22" s="31" t="s">
        <v>493</v>
      </c>
      <c r="D22" s="31" t="s">
        <v>421</v>
      </c>
      <c r="E22" s="31"/>
      <c r="F22" s="31" t="s">
        <v>494</v>
      </c>
      <c r="G22" s="31"/>
      <c r="H22" s="31" t="s">
        <v>495</v>
      </c>
    </row>
    <row r="23" customFormat="false" ht="30" hidden="false" customHeight="true" outlineLevel="0" collapsed="false">
      <c r="A23" s="53" t="s">
        <v>496</v>
      </c>
      <c r="B23" s="54" t="s">
        <v>497</v>
      </c>
      <c r="C23" s="54" t="s">
        <v>498</v>
      </c>
      <c r="D23" s="54" t="s">
        <v>421</v>
      </c>
      <c r="E23" s="54"/>
      <c r="F23" s="54" t="s">
        <v>499</v>
      </c>
      <c r="G23" s="54"/>
      <c r="H23" s="54"/>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951"/>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22"/>
    <col collapsed="false" customWidth="true" hidden="false" outlineLevel="0" max="4" min="4" style="0" width="18"/>
    <col collapsed="false" customWidth="true" hidden="false" outlineLevel="0" max="6" min="5" style="0" width="16"/>
    <col collapsed="false" customWidth="true" hidden="false" outlineLevel="0" max="7" min="7" style="0" width="38"/>
  </cols>
  <sheetData>
    <row r="1" customFormat="false" ht="27.75" hidden="false" customHeight="true" outlineLevel="0" collapsed="false">
      <c r="A1" s="32" t="s">
        <v>500</v>
      </c>
      <c r="B1" s="32"/>
      <c r="C1" s="32"/>
      <c r="D1" s="32"/>
      <c r="E1" s="32"/>
      <c r="F1" s="32"/>
      <c r="G1" s="32"/>
    </row>
    <row r="2" customFormat="false" ht="15.75" hidden="false" customHeight="true" outlineLevel="0" collapsed="false">
      <c r="A2" s="2" t="s">
        <v>501</v>
      </c>
      <c r="B2" s="2"/>
      <c r="C2" s="2"/>
      <c r="D2" s="2"/>
      <c r="E2" s="2"/>
      <c r="F2" s="2"/>
      <c r="G2" s="2"/>
    </row>
    <row r="3" customFormat="false" ht="27.75" hidden="false" customHeight="true" outlineLevel="0" collapsed="false">
      <c r="A3" s="8" t="s">
        <v>502</v>
      </c>
      <c r="B3" s="8" t="s">
        <v>503</v>
      </c>
      <c r="C3" s="8" t="s">
        <v>504</v>
      </c>
      <c r="D3" s="8" t="s">
        <v>505</v>
      </c>
      <c r="E3" s="8" t="s">
        <v>506</v>
      </c>
      <c r="F3" s="8" t="s">
        <v>507</v>
      </c>
      <c r="G3" s="8" t="s">
        <v>508</v>
      </c>
    </row>
    <row r="4" customFormat="false" ht="54.75" hidden="false" customHeight="true" outlineLevel="0" collapsed="false">
      <c r="A4" s="18" t="s">
        <v>509</v>
      </c>
      <c r="B4" s="31" t="s">
        <v>510</v>
      </c>
      <c r="C4" s="31" t="s">
        <v>421</v>
      </c>
      <c r="D4" s="31" t="s">
        <v>511</v>
      </c>
      <c r="E4" s="31" t="s">
        <v>512</v>
      </c>
      <c r="F4" s="31" t="s">
        <v>513</v>
      </c>
      <c r="G4" s="31" t="s">
        <v>514</v>
      </c>
    </row>
    <row r="5" customFormat="false" ht="54.75" hidden="false" customHeight="true" outlineLevel="0" collapsed="false">
      <c r="A5" s="53" t="s">
        <v>515</v>
      </c>
      <c r="B5" s="54" t="s">
        <v>516</v>
      </c>
      <c r="C5" s="54" t="s">
        <v>517</v>
      </c>
      <c r="D5" s="54" t="s">
        <v>511</v>
      </c>
      <c r="E5" s="54" t="s">
        <v>518</v>
      </c>
      <c r="F5" s="54" t="s">
        <v>513</v>
      </c>
      <c r="G5" s="54" t="s">
        <v>519</v>
      </c>
    </row>
    <row r="6" customFormat="false" ht="54.75" hidden="false" customHeight="true" outlineLevel="0" collapsed="false">
      <c r="A6" s="18" t="s">
        <v>520</v>
      </c>
      <c r="B6" s="31" t="s">
        <v>521</v>
      </c>
      <c r="C6" s="31" t="s">
        <v>522</v>
      </c>
      <c r="D6" s="31" t="s">
        <v>523</v>
      </c>
      <c r="E6" s="31" t="s">
        <v>518</v>
      </c>
      <c r="F6" s="31" t="s">
        <v>513</v>
      </c>
      <c r="G6" s="31" t="s">
        <v>524</v>
      </c>
    </row>
    <row r="7" customFormat="false" ht="54.75" hidden="false" customHeight="true" outlineLevel="0" collapsed="false">
      <c r="A7" s="53" t="s">
        <v>525</v>
      </c>
      <c r="B7" s="54" t="s">
        <v>526</v>
      </c>
      <c r="C7" s="54" t="s">
        <v>527</v>
      </c>
      <c r="D7" s="54" t="s">
        <v>528</v>
      </c>
      <c r="E7" s="54" t="s">
        <v>529</v>
      </c>
      <c r="F7" s="54" t="s">
        <v>513</v>
      </c>
      <c r="G7" s="54" t="s">
        <v>530</v>
      </c>
    </row>
    <row r="8" customFormat="false" ht="54.75" hidden="false" customHeight="true" outlineLevel="0" collapsed="false">
      <c r="A8" s="18" t="s">
        <v>531</v>
      </c>
      <c r="B8" s="31" t="s">
        <v>526</v>
      </c>
      <c r="C8" s="31" t="s">
        <v>532</v>
      </c>
      <c r="D8" s="31" t="s">
        <v>528</v>
      </c>
      <c r="E8" s="31" t="s">
        <v>529</v>
      </c>
      <c r="F8" s="31" t="s">
        <v>533</v>
      </c>
      <c r="G8" s="31" t="s">
        <v>534</v>
      </c>
    </row>
    <row r="9" customFormat="false" ht="54.75" hidden="false" customHeight="true" outlineLevel="0" collapsed="false">
      <c r="A9" s="53" t="s">
        <v>535</v>
      </c>
      <c r="B9" s="54" t="s">
        <v>536</v>
      </c>
      <c r="C9" s="54" t="s">
        <v>537</v>
      </c>
      <c r="D9" s="54" t="s">
        <v>528</v>
      </c>
      <c r="E9" s="54" t="s">
        <v>538</v>
      </c>
      <c r="F9" s="54" t="s">
        <v>513</v>
      </c>
      <c r="G9" s="54" t="s">
        <v>539</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2026-06-24T23:25:00Z</dcterms:created>
  <dc:creator>openpyxl</dc:creator>
  <dc:description/>
  <dc:language>en-US</dc:language>
  <cp:lastModifiedBy/>
  <dcterms:modified xsi:type="dcterms:W3CDTF">2026-06-24T23:25:00Z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